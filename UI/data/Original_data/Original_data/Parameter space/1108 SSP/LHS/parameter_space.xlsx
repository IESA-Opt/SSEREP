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Original_data/Parameter space/1108 SSP/LHS/"/>
    </mc:Choice>
  </mc:AlternateContent>
  <xr:revisionPtr revIDLastSave="1" documentId="13_ncr:1_{360CB978-4DD7-4F8C-90EF-87CA6C28B738}" xr6:coauthVersionLast="47" xr6:coauthVersionMax="47" xr10:uidLastSave="{6EAE8A2E-0015-4002-9ADF-074F509F88B9}"/>
  <bookViews>
    <workbookView xWindow="-110" yWindow="-110" windowWidth="38620" windowHeight="21100" activeTab="1" xr2:uid="{00000000-000D-0000-FFFF-FFFF00000000}"/>
  </bookViews>
  <sheets>
    <sheet name="Settings" sheetId="2" r:id="rId1"/>
    <sheet name="Parameter Spa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 a="1"/>
  <c r="K8" i="2" s="1"/>
  <c r="J8" i="2" a="1"/>
  <c r="J8" i="2" s="1"/>
  <c r="D8" i="2"/>
  <c r="G4" i="2"/>
  <c r="M8" i="2" l="1" a="1"/>
  <c r="H8" i="2" s="1" a="1"/>
  <c r="H8" i="2" s="1"/>
  <c r="M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tc={A1F00EFF-2DC7-44DE-8C4B-3F5DEC273924}</author>
    <author>tc={A70CD0D9-95FC-4FED-9FED-8182CC8A5777}</author>
  </authors>
  <commentList>
    <comment ref="D1" authorId="0" shapeId="0" xr:uid="{A1F00EFF-2DC7-44DE-8C4B-3F5DEC273924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Cells are updated to Komar’s latest “Simple” version of the database (20250819_simple)</t>
      </text>
    </comment>
    <comment ref="J1" authorId="1" shapeId="0" xr:uid="{A70CD0D9-95FC-4FED-9FED-8182CC8A57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Policy (regulations, subsidies, targets, caps)
Market (supply/demand, trade, pricing, competition)
Social (behavior, acceptance, demand trends)
Technology (R&amp;D, cost curves, deployment scaling)
External Conditions (climate, geopolitics, weather, resource availability, global shocks)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<sst xmlns="http://schemas.openxmlformats.org/spreadsheetml/2006/main" count="438" uniqueCount="186">
  <si>
    <t>Parameter space settings</t>
  </si>
  <si>
    <t>Use the 'Parameter Space' tab to define a list of (sub-)parameters and their possible ranges. From this parameter space, a selection is sampled.
The cells below can be used to specify meta-settings.</t>
  </si>
  <si>
    <t>These tables are used to compute the number of possible combinations for a factorial design.</t>
  </si>
  <si>
    <t>Setting</t>
  </si>
  <si>
    <t>Value</t>
  </si>
  <si>
    <t>Possible sampling methods</t>
  </si>
  <si>
    <t>Sampling method</t>
  </si>
  <si>
    <t>Morris</t>
  </si>
  <si>
    <t>Method used to sample from the parameter space.</t>
  </si>
  <si>
    <t>Implied sample size</t>
  </si>
  <si>
    <t>Param.</t>
  </si>
  <si>
    <t># of possible values</t>
  </si>
  <si>
    <t>Unique parameters</t>
  </si>
  <si>
    <t>Latin hypercube</t>
  </si>
  <si>
    <t>Desired sample size</t>
  </si>
  <si>
    <t>Random seed</t>
  </si>
  <si>
    <t>Seed used to control sampling randomness. Ignored if method is non-random.</t>
  </si>
  <si>
    <t>Factorial</t>
  </si>
  <si>
    <t>Parameter</t>
  </si>
  <si>
    <t>Sub-parameter</t>
  </si>
  <si>
    <t>Sheet</t>
  </si>
  <si>
    <t>Cell</t>
  </si>
  <si>
    <t>Type</t>
  </si>
  <si>
    <t>Min</t>
  </si>
  <si>
    <t>Max</t>
  </si>
  <si>
    <t>Step</t>
  </si>
  <si>
    <t>Residential electricity</t>
  </si>
  <si>
    <t>Activities</t>
  </si>
  <si>
    <t>I9</t>
  </si>
  <si>
    <t>multiply</t>
  </si>
  <si>
    <t>Residential Flats</t>
  </si>
  <si>
    <t>I10</t>
  </si>
  <si>
    <t>Residential Terrace</t>
  </si>
  <si>
    <t>I11</t>
  </si>
  <si>
    <t>Residential Dwellings</t>
  </si>
  <si>
    <t>I12</t>
  </si>
  <si>
    <t>Services electricity</t>
  </si>
  <si>
    <t>I13</t>
  </si>
  <si>
    <t>Services space</t>
  </si>
  <si>
    <t>I14</t>
  </si>
  <si>
    <t>I18</t>
  </si>
  <si>
    <t>Bunker aviation</t>
  </si>
  <si>
    <t>Bunker navigation</t>
  </si>
  <si>
    <t>Technologies</t>
  </si>
  <si>
    <t>Solar PV - Residential</t>
  </si>
  <si>
    <t>Nuclear Gen III</t>
  </si>
  <si>
    <t>Nuclear SMR</t>
  </si>
  <si>
    <t>Hydrogen Import maxUse</t>
  </si>
  <si>
    <t>Biomass Import maxStock</t>
  </si>
  <si>
    <t>Ammonia Import maxStock</t>
  </si>
  <si>
    <t>CCS potential</t>
  </si>
  <si>
    <t>CCUS network maxStock</t>
  </si>
  <si>
    <t>set</t>
  </si>
  <si>
    <t>NodeParameters</t>
  </si>
  <si>
    <t>H5</t>
  </si>
  <si>
    <t>International policy</t>
  </si>
  <si>
    <t>Policy</t>
  </si>
  <si>
    <t>Buildings demand</t>
  </si>
  <si>
    <t>Consumption behavior</t>
  </si>
  <si>
    <t>Social</t>
  </si>
  <si>
    <t>Domestic policy</t>
  </si>
  <si>
    <t>Steel production - Basic Metals Industry</t>
  </si>
  <si>
    <t>Commodity markets</t>
  </si>
  <si>
    <t>Market</t>
  </si>
  <si>
    <t>I45</t>
  </si>
  <si>
    <t>Wind offshore Costs</t>
  </si>
  <si>
    <t>Technology</t>
  </si>
  <si>
    <t>Solar PV Costs</t>
  </si>
  <si>
    <t>Nuclear Costs</t>
  </si>
  <si>
    <t>Biomass Import VOM</t>
  </si>
  <si>
    <t>Ammonia Import VOM</t>
  </si>
  <si>
    <t>Flexibility Costs</t>
  </si>
  <si>
    <t>CAES-a</t>
  </si>
  <si>
    <t>CAES-u</t>
  </si>
  <si>
    <t>H2 SOFC</t>
  </si>
  <si>
    <t>H2 CCGT</t>
  </si>
  <si>
    <t>Alkaline Electrolyzer</t>
  </si>
  <si>
    <t>PEM Electrolyzer</t>
  </si>
  <si>
    <t>Solid Oxide Electrolyzer</t>
  </si>
  <si>
    <t>E-hourly price</t>
  </si>
  <si>
    <t>Parameters</t>
  </si>
  <si>
    <t>B39</t>
  </si>
  <si>
    <t>Weather conditions</t>
  </si>
  <si>
    <t>Weather year</t>
  </si>
  <si>
    <t>B38</t>
  </si>
  <si>
    <t>B40</t>
  </si>
  <si>
    <t>(exp-imp)/imp</t>
  </si>
  <si>
    <t>Drivers (parent)</t>
  </si>
  <si>
    <t>Sub-Drivers (child)</t>
  </si>
  <si>
    <t>Annual imp/exp cap</t>
  </si>
  <si>
    <t>B41</t>
  </si>
  <si>
    <t>WACC</t>
  </si>
  <si>
    <t>B42</t>
  </si>
  <si>
    <t>Unit</t>
  </si>
  <si>
    <t>Mton CO2 eq.</t>
  </si>
  <si>
    <t>Mton Steel</t>
  </si>
  <si>
    <t>Ethylene production</t>
  </si>
  <si>
    <t>Propylene production</t>
  </si>
  <si>
    <t>Butadiene production</t>
  </si>
  <si>
    <t>BTX production</t>
  </si>
  <si>
    <t>I22</t>
  </si>
  <si>
    <t>I23</t>
  </si>
  <si>
    <t>I24</t>
  </si>
  <si>
    <t>I25</t>
  </si>
  <si>
    <t>Passenger Cars</t>
  </si>
  <si>
    <t>I37</t>
  </si>
  <si>
    <t>Gvkm</t>
  </si>
  <si>
    <t>Mvkm</t>
  </si>
  <si>
    <t>I44</t>
  </si>
  <si>
    <t>neGHG - Agriculture - CH4</t>
  </si>
  <si>
    <t>neGHG - Agriculture - N2O</t>
  </si>
  <si>
    <t>I49</t>
  </si>
  <si>
    <t>I50</t>
  </si>
  <si>
    <t>O192</t>
  </si>
  <si>
    <t>Solar PV - Rest</t>
  </si>
  <si>
    <t>M€/GW</t>
  </si>
  <si>
    <t>Offshore Capex</t>
  </si>
  <si>
    <t>%</t>
  </si>
  <si>
    <t>O186</t>
  </si>
  <si>
    <t>PJ</t>
  </si>
  <si>
    <t>M€/PJ</t>
  </si>
  <si>
    <t>B43</t>
  </si>
  <si>
    <t>€/Kg</t>
  </si>
  <si>
    <t>Wind offshore Potential</t>
  </si>
  <si>
    <t>Offshore potential</t>
  </si>
  <si>
    <t>GW</t>
  </si>
  <si>
    <t>O191</t>
  </si>
  <si>
    <t>O195</t>
  </si>
  <si>
    <t>O196</t>
  </si>
  <si>
    <t>Daily Li-ion battery</t>
  </si>
  <si>
    <t>O197</t>
  </si>
  <si>
    <t>O198</t>
  </si>
  <si>
    <t>O183</t>
  </si>
  <si>
    <t>O318</t>
  </si>
  <si>
    <t>O319</t>
  </si>
  <si>
    <t>-</t>
  </si>
  <si>
    <t>B44</t>
  </si>
  <si>
    <t>Solar PV Potential</t>
  </si>
  <si>
    <t>Solar PV potential</t>
  </si>
  <si>
    <t>Hydrogen Import Potential</t>
  </si>
  <si>
    <t>Biomass Import Potential</t>
  </si>
  <si>
    <t>Ammonia Import Potential</t>
  </si>
  <si>
    <t>Ammonia Import Price</t>
  </si>
  <si>
    <t>Biomass Import Price</t>
  </si>
  <si>
    <t>Hydrogen Import Price</t>
  </si>
  <si>
    <t>Steel Production</t>
  </si>
  <si>
    <t>Electricity Trade Price</t>
  </si>
  <si>
    <t>Weather Conditions</t>
  </si>
  <si>
    <t>Electricity Trade Ratio</t>
  </si>
  <si>
    <t>Electricity Trade Volume</t>
  </si>
  <si>
    <t>Nuclear Potential</t>
  </si>
  <si>
    <t>Nuclear maxStock</t>
  </si>
  <si>
    <t>B45</t>
  </si>
  <si>
    <t>Agriculture neGHG CH4</t>
  </si>
  <si>
    <t>Agriculture neGHG N2O</t>
  </si>
  <si>
    <t>Hydrogen Import price</t>
  </si>
  <si>
    <t>Chemical Production</t>
  </si>
  <si>
    <t>Economy</t>
  </si>
  <si>
    <t>Technology learning</t>
  </si>
  <si>
    <t>Energy Security</t>
  </si>
  <si>
    <t>Atmosphere</t>
  </si>
  <si>
    <t>Finance</t>
  </si>
  <si>
    <t>CO2 Cap</t>
  </si>
  <si>
    <t>Bunker Emission Reduction</t>
  </si>
  <si>
    <t>B47</t>
  </si>
  <si>
    <t>B48</t>
  </si>
  <si>
    <t>Weekly Li-ion battery</t>
  </si>
  <si>
    <t>Chlorine production</t>
  </si>
  <si>
    <t>Other Chemicals production</t>
  </si>
  <si>
    <t>I26</t>
  </si>
  <si>
    <t>I27</t>
  </si>
  <si>
    <t>End-of-Life Emission Reduction</t>
  </si>
  <si>
    <t>O190</t>
  </si>
  <si>
    <t>CH190</t>
  </si>
  <si>
    <t>O185</t>
  </si>
  <si>
    <t>CH323</t>
  </si>
  <si>
    <t>CH343</t>
  </si>
  <si>
    <t>AD343</t>
  </si>
  <si>
    <t>CH333</t>
  </si>
  <si>
    <t>AD333</t>
  </si>
  <si>
    <t>CH399</t>
  </si>
  <si>
    <t>O182</t>
  </si>
  <si>
    <t>O317</t>
  </si>
  <si>
    <t>Liquified Natural Gas</t>
  </si>
  <si>
    <t>AD313</t>
  </si>
  <si>
    <t>LNG Import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</si>
</sst>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3" fillId="2" borderId="1" applyNumberFormat="0" applyAlignment="0" applyProtection="0"/>
    <xf numFmtId="0" fontId="4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4" borderId="5" applyNumberFormat="0" applyAlignment="0" applyProtection="0"/>
  </cellStyleXfs>
  <cellXfs count="16">
    <xf numFmtId="0" fontId="0" fillId="0" borderId="0" xfId="0"/>
    <xf numFmtId="0" fontId="2" fillId="0" borderId="0" xfId="0" applyFont="1"/>
    <xf numFmtId="0" fontId="3" fillId="2" borderId="1" xfId="1"/>
    <xf numFmtId="0" fontId="6" fillId="0" borderId="0" xfId="2" applyFont="1" applyAlignment="1">
      <alignment horizontal="left" vertical="top" wrapText="1"/>
    </xf>
    <xf numFmtId="0" fontId="0" fillId="3" borderId="0" xfId="0" applyFill="1"/>
    <xf numFmtId="0" fontId="3" fillId="2" borderId="3" xfId="1" applyBorder="1"/>
    <xf numFmtId="0" fontId="0" fillId="0" borderId="2" xfId="0" applyBorder="1"/>
    <xf numFmtId="0" fontId="4" fillId="0" borderId="0" xfId="2"/>
    <xf numFmtId="0" fontId="8" fillId="0" borderId="4" xfId="3"/>
    <xf numFmtId="0" fontId="9" fillId="4" borderId="5" xfId="4"/>
    <xf numFmtId="0" fontId="8" fillId="0" borderId="0" xfId="3" applyBorder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4" fillId="0" borderId="0" xfId="2" applyAlignment="1">
      <alignment horizontal="left" wrapText="1"/>
    </xf>
  </cellXfs>
  <cellStyles count="5">
    <cellStyle name="Explanatory Text" xfId="2" builtinId="53"/>
    <cellStyle name="Heading 3" xfId="3" builtinId="18"/>
    <cellStyle name="Input" xfId="1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es, R.J. (Rebeka)" id="{4BD975B5-F67F-47DC-B083-EE460BC55A68}" userId="S::rebeka.beres@tno.nl::15d91ba0-f83a-496e-aca0-07c4026185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9-15T06:42:42.23" personId="{4BD975B5-F67F-47DC-B083-EE460BC55A68}" id="{A1F00EFF-2DC7-44DE-8C4B-3F5DEC273924}">
    <text>Cells are updated to Komar’s latest “Simple” version of the database (20250819_simple)</text>
  </threadedComment>
  <threadedComment ref="J1" dT="2025-09-15T05:44:02.37" personId="{4BD975B5-F67F-47DC-B083-EE460BC55A68}" id="{A70CD0D9-95FC-4FED-9FED-8182CC8A5777}">
    <text xml:space="preserve">Policy (regulations, subsidies, targets, caps)
Market (supply/demand, trade, pricing, competition)
Social (behavior, acceptance, demand trends)
Technology (R&amp;D, cost curves, deployment scaling)
External Conditions (climate, geopolitics, weather, resource availability, global shocks)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7014-9032-4420-A43D-530E747009A3}">
  <dimension ref="B2:P1022"/>
  <sheetViews>
    <sheetView showGridLines="0" workbookViewId="0">
      <selection activeCell="E14" sqref="E14"/>
    </sheetView>
  </sheetViews>
  <sheetFormatPr defaultRowHeight="14.5" x14ac:dyDescent="0.35"/>
  <cols>
    <col min="2" max="2" width="23.26953125" customWidth="1"/>
    <col min="3" max="3" width="16.7265625" customWidth="1"/>
    <col min="4" max="4" width="28" customWidth="1"/>
    <col min="5" max="5" width="24.1796875" customWidth="1"/>
    <col min="7" max="7" width="12.26953125" customWidth="1"/>
    <col min="8" max="8" width="12" customWidth="1"/>
    <col min="9" max="9" width="8.7265625" customWidth="1"/>
    <col min="10" max="10" width="11.1796875" hidden="1" customWidth="1"/>
    <col min="11" max="11" width="17.7265625" hidden="1" customWidth="1"/>
    <col min="12" max="14" width="8.7265625" hidden="1" customWidth="1"/>
    <col min="15" max="15" width="12.7265625" customWidth="1"/>
    <col min="16" max="16" width="24.54296875" bestFit="1" customWidth="1"/>
  </cols>
  <sheetData>
    <row r="2" spans="2:16" ht="23.5" x14ac:dyDescent="0.55000000000000004">
      <c r="B2" s="14" t="s">
        <v>0</v>
      </c>
      <c r="C2" s="14"/>
      <c r="D2" s="14"/>
    </row>
    <row r="4" spans="2:16" ht="67.5" customHeight="1" x14ac:dyDescent="0.35">
      <c r="B4" s="13" t="s">
        <v>1</v>
      </c>
      <c r="C4" s="13"/>
      <c r="D4" s="13"/>
      <c r="G4" s="12" t="str">
        <f>IF($C$7 = "Factorial", "When using a factorial sampling method, please ensure that all (sub)parameters are specified as a list or using a step size.", "")</f>
        <v/>
      </c>
      <c r="H4" s="12"/>
      <c r="I4" s="12"/>
      <c r="J4" s="15" t="s">
        <v>2</v>
      </c>
      <c r="K4" s="15"/>
      <c r="L4" s="15"/>
      <c r="M4" s="15"/>
      <c r="N4" s="15"/>
    </row>
    <row r="5" spans="2:16" x14ac:dyDescent="0.35">
      <c r="B5" s="3"/>
      <c r="C5" s="3"/>
      <c r="D5" s="3"/>
    </row>
    <row r="6" spans="2:16" ht="15" thickBot="1" x14ac:dyDescent="0.4">
      <c r="B6" s="6" t="s">
        <v>3</v>
      </c>
      <c r="C6" s="6" t="s">
        <v>4</v>
      </c>
      <c r="P6" s="8" t="s">
        <v>5</v>
      </c>
    </row>
    <row r="7" spans="2:16" x14ac:dyDescent="0.35">
      <c r="B7" s="4" t="s">
        <v>6</v>
      </c>
      <c r="C7" s="5" t="s">
        <v>13</v>
      </c>
      <c r="D7" s="7" t="s">
        <v>8</v>
      </c>
      <c r="H7" s="10" t="s">
        <v>9</v>
      </c>
      <c r="J7" s="6" t="s">
        <v>10</v>
      </c>
      <c r="K7" s="6" t="s">
        <v>11</v>
      </c>
      <c r="M7" s="6" t="s">
        <v>12</v>
      </c>
      <c r="N7" s="6"/>
      <c r="P7" s="1" t="s">
        <v>13</v>
      </c>
    </row>
    <row r="8" spans="2:16" x14ac:dyDescent="0.35">
      <c r="B8" s="4" t="s">
        <v>14</v>
      </c>
      <c r="C8" s="2">
        <v>4000</v>
      </c>
      <c r="D8" s="7" t="str">
        <f>IF(C7 = "Latin hypercube", "Number of variants that will be created.", "NOTE: the selected sampling method does not support a desired sample size.")</f>
        <v>Number of variants that will be created.</v>
      </c>
      <c r="H8" s="9" cm="1">
        <f t="array" ref="H8">_xlfn.IFS(C7="Latin hypercube",C8,C7="Morris",20*COUNTA(_xlfn.UNIQUE('Parameter Space'!$A2:$A1016)),C7="Factorial",PRODUCT(N8:N999))</f>
        <v>4000</v>
      </c>
      <c r="J8" t="str" cm="1">
        <f t="array" ref="J8:J1022">IF(ISBLANK('Parameter Space'!A2:A1016), "", 'Parameter Space'!A2:A1016)</f>
        <v>CO2 Cap</v>
      </c>
      <c r="K8" cm="1">
        <f t="array" ref="K8:K1022">IFERROR(IF(ISBLANK('Parameter Space'!A2:A1016), "", ('Parameter Space'!G2:G1016 - 'Parameter Space'!F2:F1016) / 'Parameter Space'!H2:H1015 + 1), 2)</f>
        <v>2</v>
      </c>
      <c r="M8" t="str" cm="1">
        <f t="array" ref="M8:N39">_xlfn.UNIQUE(J8:K999, FALSE)</f>
        <v>CO2 Cap</v>
      </c>
      <c r="N8">
        <v>2</v>
      </c>
      <c r="P8" s="1" t="s">
        <v>7</v>
      </c>
    </row>
    <row r="9" spans="2:16" x14ac:dyDescent="0.35">
      <c r="B9" s="4" t="s">
        <v>15</v>
      </c>
      <c r="C9" s="2">
        <v>12345</v>
      </c>
      <c r="D9" s="7" t="s">
        <v>16</v>
      </c>
      <c r="J9" t="str">
        <v>Buildings demand</v>
      </c>
      <c r="K9">
        <v>2</v>
      </c>
      <c r="M9" t="str">
        <v>Buildings demand</v>
      </c>
      <c r="N9">
        <v>2</v>
      </c>
      <c r="P9" s="1" t="s">
        <v>17</v>
      </c>
    </row>
    <row r="10" spans="2:16" x14ac:dyDescent="0.35">
      <c r="J10" t="str">
        <v>Buildings demand</v>
      </c>
      <c r="K10">
        <v>2</v>
      </c>
      <c r="M10" t="str">
        <v>Steel Production</v>
      </c>
      <c r="N10">
        <v>2</v>
      </c>
    </row>
    <row r="11" spans="2:16" x14ac:dyDescent="0.35">
      <c r="J11" t="str">
        <v>Buildings demand</v>
      </c>
      <c r="K11">
        <v>2</v>
      </c>
      <c r="M11" t="str">
        <v>Chemical Production</v>
      </c>
      <c r="N11">
        <v>2</v>
      </c>
    </row>
    <row r="12" spans="2:16" x14ac:dyDescent="0.35">
      <c r="J12" t="str">
        <v>Buildings demand</v>
      </c>
      <c r="K12">
        <v>2</v>
      </c>
      <c r="M12" t="str">
        <v>Passenger Cars</v>
      </c>
      <c r="N12">
        <v>2</v>
      </c>
    </row>
    <row r="13" spans="2:16" x14ac:dyDescent="0.35">
      <c r="J13" t="str">
        <v>Buildings demand</v>
      </c>
      <c r="K13">
        <v>2</v>
      </c>
      <c r="M13" t="str">
        <v>Bunker aviation</v>
      </c>
      <c r="N13">
        <v>2</v>
      </c>
    </row>
    <row r="14" spans="2:16" x14ac:dyDescent="0.35">
      <c r="J14" t="str">
        <v>Buildings demand</v>
      </c>
      <c r="K14">
        <v>2</v>
      </c>
      <c r="M14" t="str">
        <v>Bunker navigation</v>
      </c>
      <c r="N14">
        <v>2</v>
      </c>
    </row>
    <row r="15" spans="2:16" x14ac:dyDescent="0.35">
      <c r="J15" t="str">
        <v>Steel Production</v>
      </c>
      <c r="K15">
        <v>2</v>
      </c>
      <c r="M15" t="str">
        <v>Agriculture neGHG CH4</v>
      </c>
      <c r="N15">
        <v>2</v>
      </c>
    </row>
    <row r="16" spans="2:16" x14ac:dyDescent="0.35">
      <c r="J16" t="str">
        <v>Chemical Production</v>
      </c>
      <c r="K16">
        <v>2</v>
      </c>
      <c r="M16" t="str">
        <v>Agriculture neGHG N2O</v>
      </c>
      <c r="N16">
        <v>2</v>
      </c>
    </row>
    <row r="17" spans="10:14" x14ac:dyDescent="0.35">
      <c r="J17" t="str">
        <v>Chemical Production</v>
      </c>
      <c r="K17">
        <v>2</v>
      </c>
      <c r="M17" t="str">
        <v>Wind offshore Costs</v>
      </c>
      <c r="N17">
        <v>2</v>
      </c>
    </row>
    <row r="18" spans="10:14" x14ac:dyDescent="0.35">
      <c r="J18" t="str">
        <v>Chemical Production</v>
      </c>
      <c r="K18">
        <v>2</v>
      </c>
      <c r="M18" t="str">
        <v>Wind offshore Potential</v>
      </c>
      <c r="N18">
        <v>2</v>
      </c>
    </row>
    <row r="19" spans="10:14" x14ac:dyDescent="0.35">
      <c r="J19" t="str">
        <v>Chemical Production</v>
      </c>
      <c r="K19">
        <v>2</v>
      </c>
      <c r="M19" t="str">
        <v>Solar PV Costs</v>
      </c>
      <c r="N19">
        <v>2</v>
      </c>
    </row>
    <row r="20" spans="10:14" x14ac:dyDescent="0.35">
      <c r="J20" t="str">
        <v>Chemical Production</v>
      </c>
      <c r="K20">
        <v>2</v>
      </c>
      <c r="M20" t="str">
        <v>Solar PV Potential</v>
      </c>
      <c r="N20">
        <v>2</v>
      </c>
    </row>
    <row r="21" spans="10:14" x14ac:dyDescent="0.35">
      <c r="J21" t="str">
        <v>Chemical Production</v>
      </c>
      <c r="K21">
        <v>2</v>
      </c>
      <c r="M21" t="str">
        <v>Nuclear Costs</v>
      </c>
      <c r="N21">
        <v>2</v>
      </c>
    </row>
    <row r="22" spans="10:14" x14ac:dyDescent="0.35">
      <c r="J22" t="str">
        <v>Passenger Cars</v>
      </c>
      <c r="K22">
        <v>2</v>
      </c>
      <c r="M22" t="str">
        <v>Nuclear Potential</v>
      </c>
      <c r="N22">
        <v>2</v>
      </c>
    </row>
    <row r="23" spans="10:14" x14ac:dyDescent="0.35">
      <c r="J23" t="str">
        <v>Bunker aviation</v>
      </c>
      <c r="K23">
        <v>2</v>
      </c>
      <c r="M23" t="str">
        <v>Hydrogen Import Potential</v>
      </c>
      <c r="N23">
        <v>2</v>
      </c>
    </row>
    <row r="24" spans="10:14" x14ac:dyDescent="0.35">
      <c r="J24" t="str">
        <v>Bunker navigation</v>
      </c>
      <c r="K24">
        <v>2</v>
      </c>
      <c r="M24" t="str">
        <v>Hydrogen Import Price</v>
      </c>
      <c r="N24">
        <v>2</v>
      </c>
    </row>
    <row r="25" spans="10:14" x14ac:dyDescent="0.35">
      <c r="J25" t="str">
        <v>Agriculture neGHG CH4</v>
      </c>
      <c r="K25">
        <v>2</v>
      </c>
      <c r="M25" t="str">
        <v>Biomass Import Potential</v>
      </c>
      <c r="N25">
        <v>2</v>
      </c>
    </row>
    <row r="26" spans="10:14" x14ac:dyDescent="0.35">
      <c r="J26" t="str">
        <v>Agriculture neGHG N2O</v>
      </c>
      <c r="K26">
        <v>2</v>
      </c>
      <c r="M26" t="str">
        <v>Biomass Import Price</v>
      </c>
      <c r="N26">
        <v>2</v>
      </c>
    </row>
    <row r="27" spans="10:14" x14ac:dyDescent="0.35">
      <c r="J27" t="str">
        <v>Wind offshore Costs</v>
      </c>
      <c r="K27">
        <v>2</v>
      </c>
      <c r="M27" t="str">
        <v>Ammonia Import Potential</v>
      </c>
      <c r="N27">
        <v>2</v>
      </c>
    </row>
    <row r="28" spans="10:14" x14ac:dyDescent="0.35">
      <c r="J28" t="str">
        <v>Wind offshore Potential</v>
      </c>
      <c r="K28">
        <v>2</v>
      </c>
      <c r="M28" t="str">
        <v>Ammonia Import Price</v>
      </c>
      <c r="N28">
        <v>2</v>
      </c>
    </row>
    <row r="29" spans="10:14" x14ac:dyDescent="0.35">
      <c r="J29" t="str">
        <v>Solar PV Costs</v>
      </c>
      <c r="K29">
        <v>2</v>
      </c>
      <c r="M29" t="str">
        <v>CCS potential</v>
      </c>
      <c r="N29">
        <v>2</v>
      </c>
    </row>
    <row r="30" spans="10:14" x14ac:dyDescent="0.35">
      <c r="J30" t="str">
        <v>Solar PV Costs</v>
      </c>
      <c r="K30">
        <v>2</v>
      </c>
      <c r="M30" t="str">
        <v>Flexibility Costs</v>
      </c>
      <c r="N30">
        <v>2</v>
      </c>
    </row>
    <row r="31" spans="10:14" x14ac:dyDescent="0.35">
      <c r="J31" t="str">
        <v>Solar PV Potential</v>
      </c>
      <c r="K31">
        <v>2</v>
      </c>
      <c r="M31" t="str">
        <v>LNG Import Price</v>
      </c>
      <c r="N31">
        <v>2</v>
      </c>
    </row>
    <row r="32" spans="10:14" x14ac:dyDescent="0.35">
      <c r="J32" t="str">
        <v>Nuclear Costs</v>
      </c>
      <c r="K32">
        <v>2</v>
      </c>
      <c r="M32" t="str">
        <v>Electricity Trade Price</v>
      </c>
      <c r="N32">
        <v>2</v>
      </c>
    </row>
    <row r="33" spans="10:14" x14ac:dyDescent="0.35">
      <c r="J33" t="str">
        <v>Nuclear Costs</v>
      </c>
      <c r="K33">
        <v>2</v>
      </c>
      <c r="M33" t="str">
        <v>Weather Conditions</v>
      </c>
      <c r="N33">
        <v>2</v>
      </c>
    </row>
    <row r="34" spans="10:14" x14ac:dyDescent="0.35">
      <c r="J34" t="str">
        <v>Nuclear Potential</v>
      </c>
      <c r="K34">
        <v>2</v>
      </c>
      <c r="M34" t="str">
        <v>Electricity Trade Ratio</v>
      </c>
      <c r="N34">
        <v>2</v>
      </c>
    </row>
    <row r="35" spans="10:14" x14ac:dyDescent="0.35">
      <c r="J35" t="str">
        <v>Hydrogen Import Potential</v>
      </c>
      <c r="K35">
        <v>2</v>
      </c>
      <c r="M35" t="str">
        <v>Electricity Trade Volume</v>
      </c>
      <c r="N35">
        <v>2</v>
      </c>
    </row>
    <row r="36" spans="10:14" x14ac:dyDescent="0.35">
      <c r="J36" t="str">
        <v>Hydrogen Import Price</v>
      </c>
      <c r="K36">
        <v>2</v>
      </c>
      <c r="M36" t="str">
        <v>WACC</v>
      </c>
      <c r="N36">
        <v>2</v>
      </c>
    </row>
    <row r="37" spans="10:14" x14ac:dyDescent="0.35">
      <c r="J37" t="str">
        <v>Biomass Import Potential</v>
      </c>
      <c r="K37">
        <v>2</v>
      </c>
      <c r="M37" t="str">
        <v>Bunker Emission Reduction</v>
      </c>
      <c r="N37">
        <v>2</v>
      </c>
    </row>
    <row r="38" spans="10:14" x14ac:dyDescent="0.35">
      <c r="J38" t="str">
        <v>Biomass Import Price</v>
      </c>
      <c r="K38">
        <v>2</v>
      </c>
      <c r="M38" t="str">
        <v>End-of-Life Emission Reduction</v>
      </c>
      <c r="N38">
        <v>2</v>
      </c>
    </row>
    <row r="39" spans="10:14" x14ac:dyDescent="0.35">
      <c r="J39" t="str">
        <v>Ammonia Import Potential</v>
      </c>
      <c r="K39">
        <v>2</v>
      </c>
      <c r="M39" t="str">
        <v/>
      </c>
      <c r="N39" t="str">
        <v/>
      </c>
    </row>
    <row r="40" spans="10:14" x14ac:dyDescent="0.35">
      <c r="J40" t="str">
        <v>Ammonia Import Price</v>
      </c>
      <c r="K40">
        <v>2</v>
      </c>
    </row>
    <row r="41" spans="10:14" x14ac:dyDescent="0.35">
      <c r="J41" t="str">
        <v>CCS potential</v>
      </c>
      <c r="K41">
        <v>2</v>
      </c>
    </row>
    <row r="42" spans="10:14" x14ac:dyDescent="0.35">
      <c r="J42" t="str">
        <v>Flexibility Costs</v>
      </c>
      <c r="K42">
        <v>2</v>
      </c>
    </row>
    <row r="43" spans="10:14" x14ac:dyDescent="0.35">
      <c r="J43" t="str">
        <v>Flexibility Costs</v>
      </c>
      <c r="K43">
        <v>2</v>
      </c>
    </row>
    <row r="44" spans="10:14" x14ac:dyDescent="0.35">
      <c r="J44" t="str">
        <v>Flexibility Costs</v>
      </c>
      <c r="K44">
        <v>2</v>
      </c>
    </row>
    <row r="45" spans="10:14" x14ac:dyDescent="0.35">
      <c r="J45" t="str">
        <v>Flexibility Costs</v>
      </c>
      <c r="K45">
        <v>2</v>
      </c>
    </row>
    <row r="46" spans="10:14" x14ac:dyDescent="0.35">
      <c r="J46" t="str">
        <v>Flexibility Costs</v>
      </c>
      <c r="K46">
        <v>2</v>
      </c>
    </row>
    <row r="47" spans="10:14" x14ac:dyDescent="0.35">
      <c r="J47" t="str">
        <v>Flexibility Costs</v>
      </c>
      <c r="K47">
        <v>2</v>
      </c>
    </row>
    <row r="48" spans="10:14" x14ac:dyDescent="0.35">
      <c r="J48" t="str">
        <v>Flexibility Costs</v>
      </c>
      <c r="K48">
        <v>2</v>
      </c>
    </row>
    <row r="49" spans="10:11" x14ac:dyDescent="0.35">
      <c r="J49" t="str">
        <v>Flexibility Costs</v>
      </c>
      <c r="K49">
        <v>2</v>
      </c>
    </row>
    <row r="50" spans="10:11" x14ac:dyDescent="0.35">
      <c r="J50" t="str">
        <v>Flexibility Costs</v>
      </c>
      <c r="K50">
        <v>2</v>
      </c>
    </row>
    <row r="51" spans="10:11" x14ac:dyDescent="0.35">
      <c r="J51" t="str">
        <v>LNG Import Price</v>
      </c>
      <c r="K51">
        <v>2</v>
      </c>
    </row>
    <row r="52" spans="10:11" x14ac:dyDescent="0.35">
      <c r="J52" t="str">
        <v>Electricity Trade Price</v>
      </c>
      <c r="K52">
        <v>2</v>
      </c>
    </row>
    <row r="53" spans="10:11" x14ac:dyDescent="0.35">
      <c r="J53" t="str">
        <v>Weather Conditions</v>
      </c>
      <c r="K53">
        <v>2</v>
      </c>
    </row>
    <row r="54" spans="10:11" x14ac:dyDescent="0.35">
      <c r="J54" t="str">
        <v>Electricity Trade Ratio</v>
      </c>
      <c r="K54">
        <v>2</v>
      </c>
    </row>
    <row r="55" spans="10:11" x14ac:dyDescent="0.35">
      <c r="J55" t="str">
        <v>Electricity Trade Volume</v>
      </c>
      <c r="K55">
        <v>2</v>
      </c>
    </row>
    <row r="56" spans="10:11" x14ac:dyDescent="0.35">
      <c r="J56" t="str">
        <v>WACC</v>
      </c>
      <c r="K56">
        <v>2</v>
      </c>
    </row>
    <row r="57" spans="10:11" x14ac:dyDescent="0.35">
      <c r="J57" t="str">
        <v>Bunker Emission Reduction</v>
      </c>
      <c r="K57">
        <v>2</v>
      </c>
    </row>
    <row r="58" spans="10:11" x14ac:dyDescent="0.35">
      <c r="J58" t="str">
        <v>End-of-Life Emission Reduction</v>
      </c>
      <c r="K58">
        <v>2</v>
      </c>
    </row>
    <row r="59" spans="10:11" x14ac:dyDescent="0.35">
      <c r="J59" t="str">
        <v/>
      </c>
      <c r="K59" t="str">
        <v/>
      </c>
    </row>
    <row r="60" spans="10:11" x14ac:dyDescent="0.35">
      <c r="J60" t="str">
        <v/>
      </c>
      <c r="K60" t="str">
        <v/>
      </c>
    </row>
    <row r="61" spans="10:11" x14ac:dyDescent="0.35">
      <c r="J61" t="str">
        <v/>
      </c>
      <c r="K61" t="str">
        <v/>
      </c>
    </row>
    <row r="62" spans="10:11" x14ac:dyDescent="0.35">
      <c r="J62" t="str">
        <v/>
      </c>
      <c r="K62" t="str">
        <v/>
      </c>
    </row>
    <row r="63" spans="10:11" x14ac:dyDescent="0.35">
      <c r="J63" t="str">
        <v/>
      </c>
      <c r="K63" t="str">
        <v/>
      </c>
    </row>
    <row r="64" spans="10:11" x14ac:dyDescent="0.35">
      <c r="J64" t="str">
        <v/>
      </c>
      <c r="K64" t="str">
        <v/>
      </c>
    </row>
    <row r="65" spans="10:11" x14ac:dyDescent="0.35">
      <c r="J65" t="str">
        <v/>
      </c>
      <c r="K65" t="str">
        <v/>
      </c>
    </row>
    <row r="66" spans="10:11" x14ac:dyDescent="0.35">
      <c r="J66" t="str">
        <v/>
      </c>
      <c r="K66" t="str">
        <v/>
      </c>
    </row>
    <row r="67" spans="10:11" x14ac:dyDescent="0.35">
      <c r="J67" t="str">
        <v/>
      </c>
      <c r="K67" t="str">
        <v/>
      </c>
    </row>
    <row r="68" spans="10:11" x14ac:dyDescent="0.35">
      <c r="J68" t="str">
        <v/>
      </c>
      <c r="K68" t="str">
        <v/>
      </c>
    </row>
    <row r="69" spans="10:11" x14ac:dyDescent="0.35">
      <c r="J69" t="str">
        <v/>
      </c>
      <c r="K69" t="str">
        <v/>
      </c>
    </row>
    <row r="70" spans="10:11" x14ac:dyDescent="0.35">
      <c r="J70" t="str">
        <v/>
      </c>
      <c r="K70" t="str">
        <v/>
      </c>
    </row>
    <row r="71" spans="10:11" x14ac:dyDescent="0.35">
      <c r="J71" t="str">
        <v/>
      </c>
      <c r="K71" t="str">
        <v/>
      </c>
    </row>
    <row r="72" spans="10:11" x14ac:dyDescent="0.35">
      <c r="J72" t="str">
        <v/>
      </c>
      <c r="K72" t="str">
        <v/>
      </c>
    </row>
    <row r="73" spans="10:11" x14ac:dyDescent="0.35">
      <c r="J73" t="str">
        <v/>
      </c>
      <c r="K73" t="str">
        <v/>
      </c>
    </row>
    <row r="74" spans="10:11" x14ac:dyDescent="0.35">
      <c r="J74" t="str">
        <v/>
      </c>
      <c r="K74" t="str">
        <v/>
      </c>
    </row>
    <row r="75" spans="10:11" x14ac:dyDescent="0.35">
      <c r="J75" t="str">
        <v/>
      </c>
      <c r="K75" t="str">
        <v/>
      </c>
    </row>
    <row r="76" spans="10:11" x14ac:dyDescent="0.35">
      <c r="J76" t="str">
        <v/>
      </c>
      <c r="K76" t="str">
        <v/>
      </c>
    </row>
    <row r="77" spans="10:11" x14ac:dyDescent="0.35">
      <c r="J77" t="str">
        <v/>
      </c>
      <c r="K77" t="str">
        <v/>
      </c>
    </row>
    <row r="78" spans="10:11" x14ac:dyDescent="0.35">
      <c r="J78" t="str">
        <v/>
      </c>
      <c r="K78" t="str">
        <v/>
      </c>
    </row>
    <row r="79" spans="10:11" x14ac:dyDescent="0.35">
      <c r="J79" t="str">
        <v/>
      </c>
      <c r="K79" t="str">
        <v/>
      </c>
    </row>
    <row r="80" spans="10:11" x14ac:dyDescent="0.35">
      <c r="J80" t="str">
        <v/>
      </c>
      <c r="K80" t="str">
        <v/>
      </c>
    </row>
    <row r="81" spans="10:11" x14ac:dyDescent="0.35">
      <c r="J81" t="str">
        <v/>
      </c>
      <c r="K81" t="str">
        <v/>
      </c>
    </row>
    <row r="82" spans="10:11" x14ac:dyDescent="0.35">
      <c r="J82" t="str">
        <v/>
      </c>
      <c r="K82" t="str">
        <v/>
      </c>
    </row>
    <row r="83" spans="10:11" x14ac:dyDescent="0.35">
      <c r="J83" t="str">
        <v/>
      </c>
      <c r="K83" t="str">
        <v/>
      </c>
    </row>
    <row r="84" spans="10:11" x14ac:dyDescent="0.35">
      <c r="J84" t="str">
        <v/>
      </c>
      <c r="K84" t="str">
        <v/>
      </c>
    </row>
    <row r="85" spans="10:11" x14ac:dyDescent="0.35">
      <c r="J85" t="str">
        <v/>
      </c>
      <c r="K85" t="str">
        <v/>
      </c>
    </row>
    <row r="86" spans="10:11" x14ac:dyDescent="0.35">
      <c r="J86" t="str">
        <v/>
      </c>
      <c r="K86" t="str">
        <v/>
      </c>
    </row>
    <row r="87" spans="10:11" x14ac:dyDescent="0.35">
      <c r="J87" t="str">
        <v/>
      </c>
      <c r="K87" t="str">
        <v/>
      </c>
    </row>
    <row r="88" spans="10:11" x14ac:dyDescent="0.35">
      <c r="J88" t="str">
        <v/>
      </c>
      <c r="K88" t="str">
        <v/>
      </c>
    </row>
    <row r="89" spans="10:11" x14ac:dyDescent="0.35">
      <c r="J89" t="str">
        <v/>
      </c>
      <c r="K89" t="str">
        <v/>
      </c>
    </row>
    <row r="90" spans="10:11" x14ac:dyDescent="0.35">
      <c r="J90" t="str">
        <v/>
      </c>
      <c r="K90" t="str">
        <v/>
      </c>
    </row>
    <row r="91" spans="10:11" x14ac:dyDescent="0.35">
      <c r="J91" t="str">
        <v/>
      </c>
      <c r="K91" t="str">
        <v/>
      </c>
    </row>
    <row r="92" spans="10:11" x14ac:dyDescent="0.35">
      <c r="J92" t="str">
        <v/>
      </c>
      <c r="K92" t="str">
        <v/>
      </c>
    </row>
    <row r="93" spans="10:11" x14ac:dyDescent="0.35">
      <c r="J93" t="str">
        <v/>
      </c>
      <c r="K93" t="str">
        <v/>
      </c>
    </row>
    <row r="94" spans="10:11" x14ac:dyDescent="0.35">
      <c r="J94" t="str">
        <v/>
      </c>
      <c r="K94" t="str">
        <v/>
      </c>
    </row>
    <row r="95" spans="10:11" x14ac:dyDescent="0.35">
      <c r="J95" t="str">
        <v/>
      </c>
      <c r="K95" t="str">
        <v/>
      </c>
    </row>
    <row r="96" spans="10:11" x14ac:dyDescent="0.35">
      <c r="J96" t="str">
        <v/>
      </c>
      <c r="K96" t="str">
        <v/>
      </c>
    </row>
    <row r="97" spans="10:11" x14ac:dyDescent="0.35">
      <c r="J97" t="str">
        <v/>
      </c>
      <c r="K97" t="str">
        <v/>
      </c>
    </row>
    <row r="98" spans="10:11" x14ac:dyDescent="0.35">
      <c r="J98" t="str">
        <v/>
      </c>
      <c r="K98" t="str">
        <v/>
      </c>
    </row>
    <row r="99" spans="10:11" x14ac:dyDescent="0.35">
      <c r="J99" t="str">
        <v/>
      </c>
      <c r="K99" t="str">
        <v/>
      </c>
    </row>
    <row r="100" spans="10:11" x14ac:dyDescent="0.35">
      <c r="J100" t="str">
        <v/>
      </c>
      <c r="K100" t="str">
        <v/>
      </c>
    </row>
    <row r="101" spans="10:11" x14ac:dyDescent="0.35">
      <c r="J101" t="str">
        <v/>
      </c>
      <c r="K101" t="str">
        <v/>
      </c>
    </row>
    <row r="102" spans="10:11" x14ac:dyDescent="0.35">
      <c r="J102" t="str">
        <v/>
      </c>
      <c r="K102" t="str">
        <v/>
      </c>
    </row>
    <row r="103" spans="10:11" x14ac:dyDescent="0.35">
      <c r="J103" t="str">
        <v/>
      </c>
      <c r="K103" t="str">
        <v/>
      </c>
    </row>
    <row r="104" spans="10:11" x14ac:dyDescent="0.35">
      <c r="J104" t="str">
        <v/>
      </c>
      <c r="K104" t="str">
        <v/>
      </c>
    </row>
    <row r="105" spans="10:11" x14ac:dyDescent="0.35">
      <c r="J105" t="str">
        <v/>
      </c>
      <c r="K105" t="str">
        <v/>
      </c>
    </row>
    <row r="106" spans="10:11" x14ac:dyDescent="0.35">
      <c r="J106" t="str">
        <v/>
      </c>
      <c r="K106" t="str">
        <v/>
      </c>
    </row>
    <row r="107" spans="10:11" x14ac:dyDescent="0.35">
      <c r="J107" t="str">
        <v/>
      </c>
      <c r="K107" t="str">
        <v/>
      </c>
    </row>
    <row r="108" spans="10:11" x14ac:dyDescent="0.35">
      <c r="J108" t="str">
        <v/>
      </c>
      <c r="K108" t="str">
        <v/>
      </c>
    </row>
    <row r="109" spans="10:11" x14ac:dyDescent="0.35">
      <c r="J109" t="str">
        <v/>
      </c>
      <c r="K109" t="str">
        <v/>
      </c>
    </row>
    <row r="110" spans="10:11" x14ac:dyDescent="0.35">
      <c r="J110" t="str">
        <v/>
      </c>
      <c r="K110" t="str">
        <v/>
      </c>
    </row>
    <row r="111" spans="10:11" x14ac:dyDescent="0.35">
      <c r="J111" t="str">
        <v/>
      </c>
      <c r="K111" t="str">
        <v/>
      </c>
    </row>
    <row r="112" spans="10:11" x14ac:dyDescent="0.35">
      <c r="J112" t="str">
        <v/>
      </c>
      <c r="K112" t="str">
        <v/>
      </c>
    </row>
    <row r="113" spans="10:11" x14ac:dyDescent="0.35">
      <c r="J113" t="str">
        <v/>
      </c>
      <c r="K113" t="str">
        <v/>
      </c>
    </row>
    <row r="114" spans="10:11" x14ac:dyDescent="0.35">
      <c r="J114" t="str">
        <v/>
      </c>
      <c r="K114" t="str">
        <v/>
      </c>
    </row>
    <row r="115" spans="10:11" x14ac:dyDescent="0.35">
      <c r="J115" t="str">
        <v/>
      </c>
      <c r="K115" t="str">
        <v/>
      </c>
    </row>
    <row r="116" spans="10:11" x14ac:dyDescent="0.35">
      <c r="J116" t="str">
        <v/>
      </c>
      <c r="K116" t="str">
        <v/>
      </c>
    </row>
    <row r="117" spans="10:11" x14ac:dyDescent="0.35">
      <c r="J117" t="str">
        <v/>
      </c>
      <c r="K117" t="str">
        <v/>
      </c>
    </row>
    <row r="118" spans="10:11" x14ac:dyDescent="0.35">
      <c r="J118" t="str">
        <v/>
      </c>
      <c r="K118" t="str">
        <v/>
      </c>
    </row>
    <row r="119" spans="10:11" x14ac:dyDescent="0.35">
      <c r="J119" t="str">
        <v/>
      </c>
      <c r="K119" t="str">
        <v/>
      </c>
    </row>
    <row r="120" spans="10:11" x14ac:dyDescent="0.35">
      <c r="J120" t="str">
        <v/>
      </c>
      <c r="K120" t="str">
        <v/>
      </c>
    </row>
    <row r="121" spans="10:11" x14ac:dyDescent="0.35">
      <c r="J121" t="str">
        <v/>
      </c>
      <c r="K121" t="str">
        <v/>
      </c>
    </row>
    <row r="122" spans="10:11" x14ac:dyDescent="0.35">
      <c r="J122" t="str">
        <v/>
      </c>
      <c r="K122" t="str">
        <v/>
      </c>
    </row>
    <row r="123" spans="10:11" x14ac:dyDescent="0.35">
      <c r="J123" t="str">
        <v/>
      </c>
      <c r="K123" t="str">
        <v/>
      </c>
    </row>
    <row r="124" spans="10:11" x14ac:dyDescent="0.35">
      <c r="J124" t="str">
        <v/>
      </c>
      <c r="K124" t="str">
        <v/>
      </c>
    </row>
    <row r="125" spans="10:11" x14ac:dyDescent="0.35">
      <c r="J125" t="str">
        <v/>
      </c>
      <c r="K125" t="str">
        <v/>
      </c>
    </row>
    <row r="126" spans="10:11" x14ac:dyDescent="0.35">
      <c r="J126" t="str">
        <v/>
      </c>
      <c r="K126" t="str">
        <v/>
      </c>
    </row>
    <row r="127" spans="10:11" x14ac:dyDescent="0.35">
      <c r="J127" t="str">
        <v/>
      </c>
      <c r="K127" t="str">
        <v/>
      </c>
    </row>
    <row r="128" spans="10:11" x14ac:dyDescent="0.35">
      <c r="J128" t="str">
        <v/>
      </c>
      <c r="K128" t="str">
        <v/>
      </c>
    </row>
    <row r="129" spans="10:11" x14ac:dyDescent="0.35">
      <c r="J129" t="str">
        <v/>
      </c>
      <c r="K129" t="str">
        <v/>
      </c>
    </row>
    <row r="130" spans="10:11" x14ac:dyDescent="0.35">
      <c r="J130" t="str">
        <v/>
      </c>
      <c r="K130" t="str">
        <v/>
      </c>
    </row>
    <row r="131" spans="10:11" x14ac:dyDescent="0.35">
      <c r="J131" t="str">
        <v/>
      </c>
      <c r="K131" t="str">
        <v/>
      </c>
    </row>
    <row r="132" spans="10:11" x14ac:dyDescent="0.35">
      <c r="J132" t="str">
        <v/>
      </c>
      <c r="K132" t="str">
        <v/>
      </c>
    </row>
    <row r="133" spans="10:11" x14ac:dyDescent="0.35">
      <c r="J133" t="str">
        <v/>
      </c>
      <c r="K133" t="str">
        <v/>
      </c>
    </row>
    <row r="134" spans="10:11" x14ac:dyDescent="0.35">
      <c r="J134" t="str">
        <v/>
      </c>
      <c r="K134" t="str">
        <v/>
      </c>
    </row>
    <row r="135" spans="10:11" x14ac:dyDescent="0.35">
      <c r="J135" t="str">
        <v/>
      </c>
      <c r="K135" t="str">
        <v/>
      </c>
    </row>
    <row r="136" spans="10:11" x14ac:dyDescent="0.35">
      <c r="J136" t="str">
        <v/>
      </c>
      <c r="K136" t="str">
        <v/>
      </c>
    </row>
    <row r="137" spans="10:11" x14ac:dyDescent="0.35">
      <c r="J137" t="str">
        <v/>
      </c>
      <c r="K137" t="str">
        <v/>
      </c>
    </row>
    <row r="138" spans="10:11" x14ac:dyDescent="0.35">
      <c r="J138" t="str">
        <v/>
      </c>
      <c r="K138" t="str">
        <v/>
      </c>
    </row>
    <row r="139" spans="10:11" x14ac:dyDescent="0.35">
      <c r="J139" t="str">
        <v/>
      </c>
      <c r="K139" t="str">
        <v/>
      </c>
    </row>
    <row r="140" spans="10:11" x14ac:dyDescent="0.35">
      <c r="J140" t="str">
        <v/>
      </c>
      <c r="K140" t="str">
        <v/>
      </c>
    </row>
    <row r="141" spans="10:11" x14ac:dyDescent="0.35">
      <c r="J141" t="str">
        <v/>
      </c>
      <c r="K141" t="str">
        <v/>
      </c>
    </row>
    <row r="142" spans="10:11" x14ac:dyDescent="0.35">
      <c r="J142" t="str">
        <v/>
      </c>
      <c r="K142" t="str">
        <v/>
      </c>
    </row>
    <row r="143" spans="10:11" x14ac:dyDescent="0.35">
      <c r="J143" t="str">
        <v/>
      </c>
      <c r="K143" t="str">
        <v/>
      </c>
    </row>
    <row r="144" spans="10:11" x14ac:dyDescent="0.35">
      <c r="J144" t="str">
        <v/>
      </c>
      <c r="K144" t="str">
        <v/>
      </c>
    </row>
    <row r="145" spans="10:11" x14ac:dyDescent="0.35">
      <c r="J145" t="str">
        <v/>
      </c>
      <c r="K145" t="str">
        <v/>
      </c>
    </row>
    <row r="146" spans="10:11" x14ac:dyDescent="0.35">
      <c r="J146" t="str">
        <v/>
      </c>
      <c r="K146" t="str">
        <v/>
      </c>
    </row>
    <row r="147" spans="10:11" x14ac:dyDescent="0.35">
      <c r="J147" t="str">
        <v/>
      </c>
      <c r="K147" t="str">
        <v/>
      </c>
    </row>
    <row r="148" spans="10:11" x14ac:dyDescent="0.35">
      <c r="J148" t="str">
        <v/>
      </c>
      <c r="K148" t="str">
        <v/>
      </c>
    </row>
    <row r="149" spans="10:11" x14ac:dyDescent="0.35">
      <c r="J149" t="str">
        <v/>
      </c>
      <c r="K149" t="str">
        <v/>
      </c>
    </row>
    <row r="150" spans="10:11" x14ac:dyDescent="0.35">
      <c r="J150" t="str">
        <v/>
      </c>
      <c r="K150" t="str">
        <v/>
      </c>
    </row>
    <row r="151" spans="10:11" x14ac:dyDescent="0.35">
      <c r="J151" t="str">
        <v/>
      </c>
      <c r="K151" t="str">
        <v/>
      </c>
    </row>
    <row r="152" spans="10:11" x14ac:dyDescent="0.35">
      <c r="J152" t="str">
        <v/>
      </c>
      <c r="K152" t="str">
        <v/>
      </c>
    </row>
    <row r="153" spans="10:11" x14ac:dyDescent="0.35">
      <c r="J153" t="str">
        <v/>
      </c>
      <c r="K153" t="str">
        <v/>
      </c>
    </row>
    <row r="154" spans="10:11" x14ac:dyDescent="0.35">
      <c r="J154" t="str">
        <v/>
      </c>
      <c r="K154" t="str">
        <v/>
      </c>
    </row>
    <row r="155" spans="10:11" x14ac:dyDescent="0.35">
      <c r="J155" t="str">
        <v/>
      </c>
      <c r="K155" t="str">
        <v/>
      </c>
    </row>
    <row r="156" spans="10:11" x14ac:dyDescent="0.35">
      <c r="J156" t="str">
        <v/>
      </c>
      <c r="K156" t="str">
        <v/>
      </c>
    </row>
    <row r="157" spans="10:11" x14ac:dyDescent="0.35">
      <c r="J157" t="str">
        <v/>
      </c>
      <c r="K157" t="str">
        <v/>
      </c>
    </row>
    <row r="158" spans="10:11" x14ac:dyDescent="0.35">
      <c r="J158" t="str">
        <v/>
      </c>
      <c r="K158" t="str">
        <v/>
      </c>
    </row>
    <row r="159" spans="10:11" x14ac:dyDescent="0.35">
      <c r="J159" t="str">
        <v/>
      </c>
      <c r="K159" t="str">
        <v/>
      </c>
    </row>
    <row r="160" spans="10:11" x14ac:dyDescent="0.35">
      <c r="J160" t="str">
        <v/>
      </c>
      <c r="K160" t="str">
        <v/>
      </c>
    </row>
    <row r="161" spans="10:11" x14ac:dyDescent="0.35">
      <c r="J161" t="str">
        <v/>
      </c>
      <c r="K161" t="str">
        <v/>
      </c>
    </row>
    <row r="162" spans="10:11" x14ac:dyDescent="0.35">
      <c r="J162" t="str">
        <v/>
      </c>
      <c r="K162" t="str">
        <v/>
      </c>
    </row>
    <row r="163" spans="10:11" x14ac:dyDescent="0.35">
      <c r="J163" t="str">
        <v/>
      </c>
      <c r="K163" t="str">
        <v/>
      </c>
    </row>
    <row r="164" spans="10:11" x14ac:dyDescent="0.35">
      <c r="J164" t="str">
        <v/>
      </c>
      <c r="K164" t="str">
        <v/>
      </c>
    </row>
    <row r="165" spans="10:11" x14ac:dyDescent="0.35">
      <c r="J165" t="str">
        <v/>
      </c>
      <c r="K165" t="str">
        <v/>
      </c>
    </row>
    <row r="166" spans="10:11" x14ac:dyDescent="0.35">
      <c r="J166" t="str">
        <v/>
      </c>
      <c r="K166" t="str">
        <v/>
      </c>
    </row>
    <row r="167" spans="10:11" x14ac:dyDescent="0.35">
      <c r="J167" t="str">
        <v/>
      </c>
      <c r="K167" t="str">
        <v/>
      </c>
    </row>
    <row r="168" spans="10:11" x14ac:dyDescent="0.35">
      <c r="J168" t="str">
        <v/>
      </c>
      <c r="K168" t="str">
        <v/>
      </c>
    </row>
    <row r="169" spans="10:11" x14ac:dyDescent="0.35">
      <c r="J169" t="str">
        <v/>
      </c>
      <c r="K169" t="str">
        <v/>
      </c>
    </row>
    <row r="170" spans="10:11" x14ac:dyDescent="0.35">
      <c r="J170" t="str">
        <v/>
      </c>
      <c r="K170" t="str">
        <v/>
      </c>
    </row>
    <row r="171" spans="10:11" x14ac:dyDescent="0.35">
      <c r="J171" t="str">
        <v/>
      </c>
      <c r="K171" t="str">
        <v/>
      </c>
    </row>
    <row r="172" spans="10:11" x14ac:dyDescent="0.35">
      <c r="J172" t="str">
        <v/>
      </c>
      <c r="K172" t="str">
        <v/>
      </c>
    </row>
    <row r="173" spans="10:11" x14ac:dyDescent="0.35">
      <c r="J173" t="str">
        <v/>
      </c>
      <c r="K173" t="str">
        <v/>
      </c>
    </row>
    <row r="174" spans="10:11" x14ac:dyDescent="0.35">
      <c r="J174" t="str">
        <v/>
      </c>
      <c r="K174" t="str">
        <v/>
      </c>
    </row>
    <row r="175" spans="10:11" x14ac:dyDescent="0.35">
      <c r="J175" t="str">
        <v/>
      </c>
      <c r="K175" t="str">
        <v/>
      </c>
    </row>
    <row r="176" spans="10:11" x14ac:dyDescent="0.35">
      <c r="J176" t="str">
        <v/>
      </c>
      <c r="K176" t="str">
        <v/>
      </c>
    </row>
    <row r="177" spans="10:11" x14ac:dyDescent="0.35">
      <c r="J177" t="str">
        <v/>
      </c>
      <c r="K177" t="str">
        <v/>
      </c>
    </row>
    <row r="178" spans="10:11" x14ac:dyDescent="0.35">
      <c r="J178" t="str">
        <v/>
      </c>
      <c r="K178" t="str">
        <v/>
      </c>
    </row>
    <row r="179" spans="10:11" x14ac:dyDescent="0.35">
      <c r="J179" t="str">
        <v/>
      </c>
      <c r="K179" t="str">
        <v/>
      </c>
    </row>
    <row r="180" spans="10:11" x14ac:dyDescent="0.35">
      <c r="J180" t="str">
        <v/>
      </c>
      <c r="K180" t="str">
        <v/>
      </c>
    </row>
    <row r="181" spans="10:11" x14ac:dyDescent="0.35">
      <c r="J181" t="str">
        <v/>
      </c>
      <c r="K181" t="str">
        <v/>
      </c>
    </row>
    <row r="182" spans="10:11" x14ac:dyDescent="0.35">
      <c r="J182" t="str">
        <v/>
      </c>
      <c r="K182" t="str">
        <v/>
      </c>
    </row>
    <row r="183" spans="10:11" x14ac:dyDescent="0.35">
      <c r="J183" t="str">
        <v/>
      </c>
      <c r="K183" t="str">
        <v/>
      </c>
    </row>
    <row r="184" spans="10:11" x14ac:dyDescent="0.35">
      <c r="J184" t="str">
        <v/>
      </c>
      <c r="K184" t="str">
        <v/>
      </c>
    </row>
    <row r="185" spans="10:11" x14ac:dyDescent="0.35">
      <c r="J185" t="str">
        <v/>
      </c>
      <c r="K185" t="str">
        <v/>
      </c>
    </row>
    <row r="186" spans="10:11" x14ac:dyDescent="0.35">
      <c r="J186" t="str">
        <v/>
      </c>
      <c r="K186" t="str">
        <v/>
      </c>
    </row>
    <row r="187" spans="10:11" x14ac:dyDescent="0.35">
      <c r="J187" t="str">
        <v/>
      </c>
      <c r="K187" t="str">
        <v/>
      </c>
    </row>
    <row r="188" spans="10:11" x14ac:dyDescent="0.35">
      <c r="J188" t="str">
        <v/>
      </c>
      <c r="K188" t="str">
        <v/>
      </c>
    </row>
    <row r="189" spans="10:11" x14ac:dyDescent="0.35">
      <c r="J189" t="str">
        <v/>
      </c>
      <c r="K189" t="str">
        <v/>
      </c>
    </row>
    <row r="190" spans="10:11" x14ac:dyDescent="0.35">
      <c r="J190" t="str">
        <v/>
      </c>
      <c r="K190" t="str">
        <v/>
      </c>
    </row>
    <row r="191" spans="10:11" x14ac:dyDescent="0.35">
      <c r="J191" t="str">
        <v/>
      </c>
      <c r="K191" t="str">
        <v/>
      </c>
    </row>
    <row r="192" spans="10:11" x14ac:dyDescent="0.35">
      <c r="J192" t="str">
        <v/>
      </c>
      <c r="K192" t="str">
        <v/>
      </c>
    </row>
    <row r="193" spans="10:11" x14ac:dyDescent="0.35">
      <c r="J193" t="str">
        <v/>
      </c>
      <c r="K193" t="str">
        <v/>
      </c>
    </row>
    <row r="194" spans="10:11" x14ac:dyDescent="0.35">
      <c r="J194" t="str">
        <v/>
      </c>
      <c r="K194" t="str">
        <v/>
      </c>
    </row>
    <row r="195" spans="10:11" x14ac:dyDescent="0.35">
      <c r="J195" t="str">
        <v/>
      </c>
      <c r="K195" t="str">
        <v/>
      </c>
    </row>
    <row r="196" spans="10:11" x14ac:dyDescent="0.35">
      <c r="J196" t="str">
        <v/>
      </c>
      <c r="K196" t="str">
        <v/>
      </c>
    </row>
    <row r="197" spans="10:11" x14ac:dyDescent="0.35">
      <c r="J197" t="str">
        <v/>
      </c>
      <c r="K197" t="str">
        <v/>
      </c>
    </row>
    <row r="198" spans="10:11" x14ac:dyDescent="0.35">
      <c r="J198" t="str">
        <v/>
      </c>
      <c r="K198" t="str">
        <v/>
      </c>
    </row>
    <row r="199" spans="10:11" x14ac:dyDescent="0.35">
      <c r="J199" t="str">
        <v/>
      </c>
      <c r="K199" t="str">
        <v/>
      </c>
    </row>
    <row r="200" spans="10:11" x14ac:dyDescent="0.35">
      <c r="J200" t="str">
        <v/>
      </c>
      <c r="K200" t="str">
        <v/>
      </c>
    </row>
    <row r="201" spans="10:11" x14ac:dyDescent="0.35">
      <c r="J201" t="str">
        <v/>
      </c>
      <c r="K201" t="str">
        <v/>
      </c>
    </row>
    <row r="202" spans="10:11" x14ac:dyDescent="0.35">
      <c r="J202" t="str">
        <v/>
      </c>
      <c r="K202" t="str">
        <v/>
      </c>
    </row>
    <row r="203" spans="10:11" x14ac:dyDescent="0.35">
      <c r="J203" t="str">
        <v/>
      </c>
      <c r="K203" t="str">
        <v/>
      </c>
    </row>
    <row r="204" spans="10:11" x14ac:dyDescent="0.35">
      <c r="J204" t="str">
        <v/>
      </c>
      <c r="K204" t="str">
        <v/>
      </c>
    </row>
    <row r="205" spans="10:11" x14ac:dyDescent="0.35">
      <c r="J205" t="str">
        <v/>
      </c>
      <c r="K205" t="str">
        <v/>
      </c>
    </row>
    <row r="206" spans="10:11" x14ac:dyDescent="0.35">
      <c r="J206" t="str">
        <v/>
      </c>
      <c r="K206" t="str">
        <v/>
      </c>
    </row>
    <row r="207" spans="10:11" x14ac:dyDescent="0.35">
      <c r="J207" t="str">
        <v/>
      </c>
      <c r="K207" t="str">
        <v/>
      </c>
    </row>
    <row r="208" spans="10:11" x14ac:dyDescent="0.35">
      <c r="J208" t="str">
        <v/>
      </c>
      <c r="K208" t="str">
        <v/>
      </c>
    </row>
    <row r="209" spans="10:11" x14ac:dyDescent="0.35">
      <c r="J209" t="str">
        <v/>
      </c>
      <c r="K209" t="str">
        <v/>
      </c>
    </row>
    <row r="210" spans="10:11" x14ac:dyDescent="0.35">
      <c r="J210" t="str">
        <v/>
      </c>
      <c r="K210" t="str">
        <v/>
      </c>
    </row>
    <row r="211" spans="10:11" x14ac:dyDescent="0.35">
      <c r="J211" t="str">
        <v/>
      </c>
      <c r="K211" t="str">
        <v/>
      </c>
    </row>
    <row r="212" spans="10:11" x14ac:dyDescent="0.35">
      <c r="J212" t="str">
        <v/>
      </c>
      <c r="K212" t="str">
        <v/>
      </c>
    </row>
    <row r="213" spans="10:11" x14ac:dyDescent="0.35">
      <c r="J213" t="str">
        <v/>
      </c>
      <c r="K213" t="str">
        <v/>
      </c>
    </row>
    <row r="214" spans="10:11" x14ac:dyDescent="0.35">
      <c r="J214" t="str">
        <v/>
      </c>
      <c r="K214" t="str">
        <v/>
      </c>
    </row>
    <row r="215" spans="10:11" x14ac:dyDescent="0.35">
      <c r="J215" t="str">
        <v/>
      </c>
      <c r="K215" t="str">
        <v/>
      </c>
    </row>
    <row r="216" spans="10:11" x14ac:dyDescent="0.35">
      <c r="J216" t="str">
        <v/>
      </c>
      <c r="K216" t="str">
        <v/>
      </c>
    </row>
    <row r="217" spans="10:11" x14ac:dyDescent="0.35">
      <c r="J217" t="str">
        <v/>
      </c>
      <c r="K217" t="str">
        <v/>
      </c>
    </row>
    <row r="218" spans="10:11" x14ac:dyDescent="0.35">
      <c r="J218" t="str">
        <v/>
      </c>
      <c r="K218" t="str">
        <v/>
      </c>
    </row>
    <row r="219" spans="10:11" x14ac:dyDescent="0.35">
      <c r="J219" t="str">
        <v/>
      </c>
      <c r="K219" t="str">
        <v/>
      </c>
    </row>
    <row r="220" spans="10:11" x14ac:dyDescent="0.35">
      <c r="J220" t="str">
        <v/>
      </c>
      <c r="K220" t="str">
        <v/>
      </c>
    </row>
    <row r="221" spans="10:11" x14ac:dyDescent="0.35">
      <c r="J221" t="str">
        <v/>
      </c>
      <c r="K221" t="str">
        <v/>
      </c>
    </row>
    <row r="222" spans="10:11" x14ac:dyDescent="0.35">
      <c r="J222" t="str">
        <v/>
      </c>
      <c r="K222" t="str">
        <v/>
      </c>
    </row>
    <row r="223" spans="10:11" x14ac:dyDescent="0.35">
      <c r="J223" t="str">
        <v/>
      </c>
      <c r="K223" t="str">
        <v/>
      </c>
    </row>
    <row r="224" spans="10:11" x14ac:dyDescent="0.35">
      <c r="J224" t="str">
        <v/>
      </c>
      <c r="K224" t="str">
        <v/>
      </c>
    </row>
    <row r="225" spans="10:11" x14ac:dyDescent="0.35">
      <c r="J225" t="str">
        <v/>
      </c>
      <c r="K225" t="str">
        <v/>
      </c>
    </row>
    <row r="226" spans="10:11" x14ac:dyDescent="0.35">
      <c r="J226" t="str">
        <v/>
      </c>
      <c r="K226" t="str">
        <v/>
      </c>
    </row>
    <row r="227" spans="10:11" x14ac:dyDescent="0.35">
      <c r="J227" t="str">
        <v/>
      </c>
      <c r="K227" t="str">
        <v/>
      </c>
    </row>
    <row r="228" spans="10:11" x14ac:dyDescent="0.35">
      <c r="J228" t="str">
        <v/>
      </c>
      <c r="K228" t="str">
        <v/>
      </c>
    </row>
    <row r="229" spans="10:11" x14ac:dyDescent="0.35">
      <c r="J229" t="str">
        <v/>
      </c>
      <c r="K229" t="str">
        <v/>
      </c>
    </row>
    <row r="230" spans="10:11" x14ac:dyDescent="0.35">
      <c r="J230" t="str">
        <v/>
      </c>
      <c r="K230" t="str">
        <v/>
      </c>
    </row>
    <row r="231" spans="10:11" x14ac:dyDescent="0.35">
      <c r="J231" t="str">
        <v/>
      </c>
      <c r="K231" t="str">
        <v/>
      </c>
    </row>
    <row r="232" spans="10:11" x14ac:dyDescent="0.35">
      <c r="J232" t="str">
        <v/>
      </c>
      <c r="K232" t="str">
        <v/>
      </c>
    </row>
    <row r="233" spans="10:11" x14ac:dyDescent="0.35">
      <c r="J233" t="str">
        <v/>
      </c>
      <c r="K233" t="str">
        <v/>
      </c>
    </row>
    <row r="234" spans="10:11" x14ac:dyDescent="0.35">
      <c r="J234" t="str">
        <v/>
      </c>
      <c r="K234" t="str">
        <v/>
      </c>
    </row>
    <row r="235" spans="10:11" x14ac:dyDescent="0.35">
      <c r="J235" t="str">
        <v/>
      </c>
      <c r="K235" t="str">
        <v/>
      </c>
    </row>
    <row r="236" spans="10:11" x14ac:dyDescent="0.35">
      <c r="J236" t="str">
        <v/>
      </c>
      <c r="K236" t="str">
        <v/>
      </c>
    </row>
    <row r="237" spans="10:11" x14ac:dyDescent="0.35">
      <c r="J237" t="str">
        <v/>
      </c>
      <c r="K237" t="str">
        <v/>
      </c>
    </row>
    <row r="238" spans="10:11" x14ac:dyDescent="0.35">
      <c r="J238" t="str">
        <v/>
      </c>
      <c r="K238" t="str">
        <v/>
      </c>
    </row>
    <row r="239" spans="10:11" x14ac:dyDescent="0.35">
      <c r="J239" t="str">
        <v/>
      </c>
      <c r="K239" t="str">
        <v/>
      </c>
    </row>
    <row r="240" spans="10:11" x14ac:dyDescent="0.35">
      <c r="J240" t="str">
        <v/>
      </c>
      <c r="K240" t="str">
        <v/>
      </c>
    </row>
    <row r="241" spans="10:11" x14ac:dyDescent="0.35">
      <c r="J241" t="str">
        <v/>
      </c>
      <c r="K241" t="str">
        <v/>
      </c>
    </row>
    <row r="242" spans="10:11" x14ac:dyDescent="0.35">
      <c r="J242" t="str">
        <v/>
      </c>
      <c r="K242" t="str">
        <v/>
      </c>
    </row>
    <row r="243" spans="10:11" x14ac:dyDescent="0.35">
      <c r="J243" t="str">
        <v/>
      </c>
      <c r="K243" t="str">
        <v/>
      </c>
    </row>
    <row r="244" spans="10:11" x14ac:dyDescent="0.35">
      <c r="J244" t="str">
        <v/>
      </c>
      <c r="K244" t="str">
        <v/>
      </c>
    </row>
    <row r="245" spans="10:11" x14ac:dyDescent="0.35">
      <c r="J245" t="str">
        <v/>
      </c>
      <c r="K245" t="str">
        <v/>
      </c>
    </row>
    <row r="246" spans="10:11" x14ac:dyDescent="0.35">
      <c r="J246" t="str">
        <v/>
      </c>
      <c r="K246" t="str">
        <v/>
      </c>
    </row>
    <row r="247" spans="10:11" x14ac:dyDescent="0.35">
      <c r="J247" t="str">
        <v/>
      </c>
      <c r="K247" t="str">
        <v/>
      </c>
    </row>
    <row r="248" spans="10:11" x14ac:dyDescent="0.35">
      <c r="J248" t="str">
        <v/>
      </c>
      <c r="K248" t="str">
        <v/>
      </c>
    </row>
    <row r="249" spans="10:11" x14ac:dyDescent="0.35">
      <c r="J249" t="str">
        <v/>
      </c>
      <c r="K249" t="str">
        <v/>
      </c>
    </row>
    <row r="250" spans="10:11" x14ac:dyDescent="0.35">
      <c r="J250" t="str">
        <v/>
      </c>
      <c r="K250" t="str">
        <v/>
      </c>
    </row>
    <row r="251" spans="10:11" x14ac:dyDescent="0.35">
      <c r="J251" t="str">
        <v/>
      </c>
      <c r="K251" t="str">
        <v/>
      </c>
    </row>
    <row r="252" spans="10:11" x14ac:dyDescent="0.35">
      <c r="J252" t="str">
        <v/>
      </c>
      <c r="K252" t="str">
        <v/>
      </c>
    </row>
    <row r="253" spans="10:11" x14ac:dyDescent="0.35">
      <c r="J253" t="str">
        <v/>
      </c>
      <c r="K253" t="str">
        <v/>
      </c>
    </row>
    <row r="254" spans="10:11" x14ac:dyDescent="0.35">
      <c r="J254" t="str">
        <v/>
      </c>
      <c r="K254" t="str">
        <v/>
      </c>
    </row>
    <row r="255" spans="10:11" x14ac:dyDescent="0.35">
      <c r="J255" t="str">
        <v/>
      </c>
      <c r="K255" t="str">
        <v/>
      </c>
    </row>
    <row r="256" spans="10:11" x14ac:dyDescent="0.35">
      <c r="J256" t="str">
        <v/>
      </c>
      <c r="K256" t="str">
        <v/>
      </c>
    </row>
    <row r="257" spans="10:11" x14ac:dyDescent="0.35">
      <c r="J257" t="str">
        <v/>
      </c>
      <c r="K257" t="str">
        <v/>
      </c>
    </row>
    <row r="258" spans="10:11" x14ac:dyDescent="0.35">
      <c r="J258" t="str">
        <v/>
      </c>
      <c r="K258" t="str">
        <v/>
      </c>
    </row>
    <row r="259" spans="10:11" x14ac:dyDescent="0.35">
      <c r="J259" t="str">
        <v/>
      </c>
      <c r="K259" t="str">
        <v/>
      </c>
    </row>
    <row r="260" spans="10:11" x14ac:dyDescent="0.35">
      <c r="J260" t="str">
        <v/>
      </c>
      <c r="K260" t="str">
        <v/>
      </c>
    </row>
    <row r="261" spans="10:11" x14ac:dyDescent="0.35">
      <c r="J261" t="str">
        <v/>
      </c>
      <c r="K261" t="str">
        <v/>
      </c>
    </row>
    <row r="262" spans="10:11" x14ac:dyDescent="0.35">
      <c r="J262" t="str">
        <v/>
      </c>
      <c r="K262" t="str">
        <v/>
      </c>
    </row>
    <row r="263" spans="10:11" x14ac:dyDescent="0.35">
      <c r="J263" t="str">
        <v/>
      </c>
      <c r="K263" t="str">
        <v/>
      </c>
    </row>
    <row r="264" spans="10:11" x14ac:dyDescent="0.35">
      <c r="J264" t="str">
        <v/>
      </c>
      <c r="K264" t="str">
        <v/>
      </c>
    </row>
    <row r="265" spans="10:11" x14ac:dyDescent="0.35">
      <c r="J265" t="str">
        <v/>
      </c>
      <c r="K265" t="str">
        <v/>
      </c>
    </row>
    <row r="266" spans="10:11" x14ac:dyDescent="0.35">
      <c r="J266" t="str">
        <v/>
      </c>
      <c r="K266" t="str">
        <v/>
      </c>
    </row>
    <row r="267" spans="10:11" x14ac:dyDescent="0.35">
      <c r="J267" t="str">
        <v/>
      </c>
      <c r="K267" t="str">
        <v/>
      </c>
    </row>
    <row r="268" spans="10:11" x14ac:dyDescent="0.35">
      <c r="J268" t="str">
        <v/>
      </c>
      <c r="K268" t="str">
        <v/>
      </c>
    </row>
    <row r="269" spans="10:11" x14ac:dyDescent="0.35">
      <c r="J269" t="str">
        <v/>
      </c>
      <c r="K269" t="str">
        <v/>
      </c>
    </row>
    <row r="270" spans="10:11" x14ac:dyDescent="0.35">
      <c r="J270" t="str">
        <v/>
      </c>
      <c r="K270" t="str">
        <v/>
      </c>
    </row>
    <row r="271" spans="10:11" x14ac:dyDescent="0.35">
      <c r="J271" t="str">
        <v/>
      </c>
      <c r="K271" t="str">
        <v/>
      </c>
    </row>
    <row r="272" spans="10:11" x14ac:dyDescent="0.35">
      <c r="J272" t="str">
        <v/>
      </c>
      <c r="K272" t="str">
        <v/>
      </c>
    </row>
    <row r="273" spans="10:11" x14ac:dyDescent="0.35">
      <c r="J273" t="str">
        <v/>
      </c>
      <c r="K273" t="str">
        <v/>
      </c>
    </row>
    <row r="274" spans="10:11" x14ac:dyDescent="0.35">
      <c r="J274" t="str">
        <v/>
      </c>
      <c r="K274" t="str">
        <v/>
      </c>
    </row>
    <row r="275" spans="10:11" x14ac:dyDescent="0.35">
      <c r="J275" t="str">
        <v/>
      </c>
      <c r="K275" t="str">
        <v/>
      </c>
    </row>
    <row r="276" spans="10:11" x14ac:dyDescent="0.35">
      <c r="J276" t="str">
        <v/>
      </c>
      <c r="K276" t="str">
        <v/>
      </c>
    </row>
    <row r="277" spans="10:11" x14ac:dyDescent="0.35">
      <c r="J277" t="str">
        <v/>
      </c>
      <c r="K277" t="str">
        <v/>
      </c>
    </row>
    <row r="278" spans="10:11" x14ac:dyDescent="0.35">
      <c r="J278" t="str">
        <v/>
      </c>
      <c r="K278" t="str">
        <v/>
      </c>
    </row>
    <row r="279" spans="10:11" x14ac:dyDescent="0.35">
      <c r="J279" t="str">
        <v/>
      </c>
      <c r="K279" t="str">
        <v/>
      </c>
    </row>
    <row r="280" spans="10:11" x14ac:dyDescent="0.35">
      <c r="J280" t="str">
        <v/>
      </c>
      <c r="K280" t="str">
        <v/>
      </c>
    </row>
    <row r="281" spans="10:11" x14ac:dyDescent="0.35">
      <c r="J281" t="str">
        <v/>
      </c>
      <c r="K281" t="str">
        <v/>
      </c>
    </row>
    <row r="282" spans="10:11" x14ac:dyDescent="0.35">
      <c r="J282" t="str">
        <v/>
      </c>
      <c r="K282" t="str">
        <v/>
      </c>
    </row>
    <row r="283" spans="10:11" x14ac:dyDescent="0.35">
      <c r="J283" t="str">
        <v/>
      </c>
      <c r="K283" t="str">
        <v/>
      </c>
    </row>
    <row r="284" spans="10:11" x14ac:dyDescent="0.35">
      <c r="J284" t="str">
        <v/>
      </c>
      <c r="K284" t="str">
        <v/>
      </c>
    </row>
    <row r="285" spans="10:11" x14ac:dyDescent="0.35">
      <c r="J285" t="str">
        <v/>
      </c>
      <c r="K285" t="str">
        <v/>
      </c>
    </row>
    <row r="286" spans="10:11" x14ac:dyDescent="0.35">
      <c r="J286" t="str">
        <v/>
      </c>
      <c r="K286" t="str">
        <v/>
      </c>
    </row>
    <row r="287" spans="10:11" x14ac:dyDescent="0.35">
      <c r="J287" t="str">
        <v/>
      </c>
      <c r="K287" t="str">
        <v/>
      </c>
    </row>
    <row r="288" spans="10:11" x14ac:dyDescent="0.35">
      <c r="J288" t="str">
        <v/>
      </c>
      <c r="K288" t="str">
        <v/>
      </c>
    </row>
    <row r="289" spans="10:11" x14ac:dyDescent="0.35">
      <c r="J289" t="str">
        <v/>
      </c>
      <c r="K289" t="str">
        <v/>
      </c>
    </row>
    <row r="290" spans="10:11" x14ac:dyDescent="0.35">
      <c r="J290" t="str">
        <v/>
      </c>
      <c r="K290" t="str">
        <v/>
      </c>
    </row>
    <row r="291" spans="10:11" x14ac:dyDescent="0.35">
      <c r="J291" t="str">
        <v/>
      </c>
      <c r="K291" t="str">
        <v/>
      </c>
    </row>
    <row r="292" spans="10:11" x14ac:dyDescent="0.35">
      <c r="J292" t="str">
        <v/>
      </c>
      <c r="K292" t="str">
        <v/>
      </c>
    </row>
    <row r="293" spans="10:11" x14ac:dyDescent="0.35">
      <c r="J293" t="str">
        <v/>
      </c>
      <c r="K293" t="str">
        <v/>
      </c>
    </row>
    <row r="294" spans="10:11" x14ac:dyDescent="0.35">
      <c r="J294" t="str">
        <v/>
      </c>
      <c r="K294" t="str">
        <v/>
      </c>
    </row>
    <row r="295" spans="10:11" x14ac:dyDescent="0.35">
      <c r="J295" t="str">
        <v/>
      </c>
      <c r="K295" t="str">
        <v/>
      </c>
    </row>
    <row r="296" spans="10:11" x14ac:dyDescent="0.35">
      <c r="J296" t="str">
        <v/>
      </c>
      <c r="K296" t="str">
        <v/>
      </c>
    </row>
    <row r="297" spans="10:11" x14ac:dyDescent="0.35">
      <c r="J297" t="str">
        <v/>
      </c>
      <c r="K297" t="str">
        <v/>
      </c>
    </row>
    <row r="298" spans="10:11" x14ac:dyDescent="0.35">
      <c r="J298" t="str">
        <v/>
      </c>
      <c r="K298" t="str">
        <v/>
      </c>
    </row>
    <row r="299" spans="10:11" x14ac:dyDescent="0.35">
      <c r="J299" t="str">
        <v/>
      </c>
      <c r="K299" t="str">
        <v/>
      </c>
    </row>
    <row r="300" spans="10:11" x14ac:dyDescent="0.35">
      <c r="J300" t="str">
        <v/>
      </c>
      <c r="K300" t="str">
        <v/>
      </c>
    </row>
    <row r="301" spans="10:11" x14ac:dyDescent="0.35">
      <c r="J301" t="str">
        <v/>
      </c>
      <c r="K301" t="str">
        <v/>
      </c>
    </row>
    <row r="302" spans="10:11" x14ac:dyDescent="0.35">
      <c r="J302" t="str">
        <v/>
      </c>
      <c r="K302" t="str">
        <v/>
      </c>
    </row>
    <row r="303" spans="10:11" x14ac:dyDescent="0.35">
      <c r="J303" t="str">
        <v/>
      </c>
      <c r="K303" t="str">
        <v/>
      </c>
    </row>
    <row r="304" spans="10:11" x14ac:dyDescent="0.35">
      <c r="J304" t="str">
        <v/>
      </c>
      <c r="K304" t="str">
        <v/>
      </c>
    </row>
    <row r="305" spans="10:11" x14ac:dyDescent="0.35">
      <c r="J305" t="str">
        <v/>
      </c>
      <c r="K305" t="str">
        <v/>
      </c>
    </row>
    <row r="306" spans="10:11" x14ac:dyDescent="0.35">
      <c r="J306" t="str">
        <v/>
      </c>
      <c r="K306" t="str">
        <v/>
      </c>
    </row>
    <row r="307" spans="10:11" x14ac:dyDescent="0.35">
      <c r="J307" t="str">
        <v/>
      </c>
      <c r="K307" t="str">
        <v/>
      </c>
    </row>
    <row r="308" spans="10:11" x14ac:dyDescent="0.35">
      <c r="J308" t="str">
        <v/>
      </c>
      <c r="K308" t="str">
        <v/>
      </c>
    </row>
    <row r="309" spans="10:11" x14ac:dyDescent="0.35">
      <c r="J309" t="str">
        <v/>
      </c>
      <c r="K309" t="str">
        <v/>
      </c>
    </row>
    <row r="310" spans="10:11" x14ac:dyDescent="0.35">
      <c r="J310" t="str">
        <v/>
      </c>
      <c r="K310" t="str">
        <v/>
      </c>
    </row>
    <row r="311" spans="10:11" x14ac:dyDescent="0.35">
      <c r="J311" t="str">
        <v/>
      </c>
      <c r="K311" t="str">
        <v/>
      </c>
    </row>
    <row r="312" spans="10:11" x14ac:dyDescent="0.35">
      <c r="J312" t="str">
        <v/>
      </c>
      <c r="K312" t="str">
        <v/>
      </c>
    </row>
    <row r="313" spans="10:11" x14ac:dyDescent="0.35">
      <c r="J313" t="str">
        <v/>
      </c>
      <c r="K313" t="str">
        <v/>
      </c>
    </row>
    <row r="314" spans="10:11" x14ac:dyDescent="0.35">
      <c r="J314" t="str">
        <v/>
      </c>
      <c r="K314" t="str">
        <v/>
      </c>
    </row>
    <row r="315" spans="10:11" x14ac:dyDescent="0.35">
      <c r="J315" t="str">
        <v/>
      </c>
      <c r="K315" t="str">
        <v/>
      </c>
    </row>
    <row r="316" spans="10:11" x14ac:dyDescent="0.35">
      <c r="J316" t="str">
        <v/>
      </c>
      <c r="K316" t="str">
        <v/>
      </c>
    </row>
    <row r="317" spans="10:11" x14ac:dyDescent="0.35">
      <c r="J317" t="str">
        <v/>
      </c>
      <c r="K317" t="str">
        <v/>
      </c>
    </row>
    <row r="318" spans="10:11" x14ac:dyDescent="0.35">
      <c r="J318" t="str">
        <v/>
      </c>
      <c r="K318" t="str">
        <v/>
      </c>
    </row>
    <row r="319" spans="10:11" x14ac:dyDescent="0.35">
      <c r="J319" t="str">
        <v/>
      </c>
      <c r="K319" t="str">
        <v/>
      </c>
    </row>
    <row r="320" spans="10:11" x14ac:dyDescent="0.35">
      <c r="J320" t="str">
        <v/>
      </c>
      <c r="K320" t="str">
        <v/>
      </c>
    </row>
    <row r="321" spans="10:11" x14ac:dyDescent="0.35">
      <c r="J321" t="str">
        <v/>
      </c>
      <c r="K321" t="str">
        <v/>
      </c>
    </row>
    <row r="322" spans="10:11" x14ac:dyDescent="0.35">
      <c r="J322" t="str">
        <v/>
      </c>
      <c r="K322" t="str">
        <v/>
      </c>
    </row>
    <row r="323" spans="10:11" x14ac:dyDescent="0.35">
      <c r="J323" t="str">
        <v/>
      </c>
      <c r="K323" t="str">
        <v/>
      </c>
    </row>
    <row r="324" spans="10:11" x14ac:dyDescent="0.35">
      <c r="J324" t="str">
        <v/>
      </c>
      <c r="K324" t="str">
        <v/>
      </c>
    </row>
    <row r="325" spans="10:11" x14ac:dyDescent="0.35">
      <c r="J325" t="str">
        <v/>
      </c>
      <c r="K325" t="str">
        <v/>
      </c>
    </row>
    <row r="326" spans="10:11" x14ac:dyDescent="0.35">
      <c r="J326" t="str">
        <v/>
      </c>
      <c r="K326" t="str">
        <v/>
      </c>
    </row>
    <row r="327" spans="10:11" x14ac:dyDescent="0.35">
      <c r="J327" t="str">
        <v/>
      </c>
      <c r="K327" t="str">
        <v/>
      </c>
    </row>
    <row r="328" spans="10:11" x14ac:dyDescent="0.35">
      <c r="J328" t="str">
        <v/>
      </c>
      <c r="K328" t="str">
        <v/>
      </c>
    </row>
    <row r="329" spans="10:11" x14ac:dyDescent="0.35">
      <c r="J329" t="str">
        <v/>
      </c>
      <c r="K329" t="str">
        <v/>
      </c>
    </row>
    <row r="330" spans="10:11" x14ac:dyDescent="0.35">
      <c r="J330" t="str">
        <v/>
      </c>
      <c r="K330" t="str">
        <v/>
      </c>
    </row>
    <row r="331" spans="10:11" x14ac:dyDescent="0.35">
      <c r="J331" t="str">
        <v/>
      </c>
      <c r="K331" t="str">
        <v/>
      </c>
    </row>
    <row r="332" spans="10:11" x14ac:dyDescent="0.35">
      <c r="J332" t="str">
        <v/>
      </c>
      <c r="K332" t="str">
        <v/>
      </c>
    </row>
    <row r="333" spans="10:11" x14ac:dyDescent="0.35">
      <c r="J333" t="str">
        <v/>
      </c>
      <c r="K333" t="str">
        <v/>
      </c>
    </row>
    <row r="334" spans="10:11" x14ac:dyDescent="0.35">
      <c r="J334" t="str">
        <v/>
      </c>
      <c r="K334" t="str">
        <v/>
      </c>
    </row>
    <row r="335" spans="10:11" x14ac:dyDescent="0.35">
      <c r="J335" t="str">
        <v/>
      </c>
      <c r="K335" t="str">
        <v/>
      </c>
    </row>
    <row r="336" spans="10:11" x14ac:dyDescent="0.35">
      <c r="J336" t="str">
        <v/>
      </c>
      <c r="K336" t="str">
        <v/>
      </c>
    </row>
    <row r="337" spans="10:11" x14ac:dyDescent="0.35">
      <c r="J337" t="str">
        <v/>
      </c>
      <c r="K337" t="str">
        <v/>
      </c>
    </row>
    <row r="338" spans="10:11" x14ac:dyDescent="0.35">
      <c r="J338" t="str">
        <v/>
      </c>
      <c r="K338" t="str">
        <v/>
      </c>
    </row>
    <row r="339" spans="10:11" x14ac:dyDescent="0.35">
      <c r="J339" t="str">
        <v/>
      </c>
      <c r="K339" t="str">
        <v/>
      </c>
    </row>
    <row r="340" spans="10:11" x14ac:dyDescent="0.35">
      <c r="J340" t="str">
        <v/>
      </c>
      <c r="K340" t="str">
        <v/>
      </c>
    </row>
    <row r="341" spans="10:11" x14ac:dyDescent="0.35">
      <c r="J341" t="str">
        <v/>
      </c>
      <c r="K341" t="str">
        <v/>
      </c>
    </row>
    <row r="342" spans="10:11" x14ac:dyDescent="0.35">
      <c r="J342" t="str">
        <v/>
      </c>
      <c r="K342" t="str">
        <v/>
      </c>
    </row>
    <row r="343" spans="10:11" x14ac:dyDescent="0.35">
      <c r="J343" t="str">
        <v/>
      </c>
      <c r="K343" t="str">
        <v/>
      </c>
    </row>
    <row r="344" spans="10:11" x14ac:dyDescent="0.35">
      <c r="J344" t="str">
        <v/>
      </c>
      <c r="K344" t="str">
        <v/>
      </c>
    </row>
    <row r="345" spans="10:11" x14ac:dyDescent="0.35">
      <c r="J345" t="str">
        <v/>
      </c>
      <c r="K345" t="str">
        <v/>
      </c>
    </row>
    <row r="346" spans="10:11" x14ac:dyDescent="0.35">
      <c r="J346" t="str">
        <v/>
      </c>
      <c r="K346" t="str">
        <v/>
      </c>
    </row>
    <row r="347" spans="10:11" x14ac:dyDescent="0.35">
      <c r="J347" t="str">
        <v/>
      </c>
      <c r="K347" t="str">
        <v/>
      </c>
    </row>
    <row r="348" spans="10:11" x14ac:dyDescent="0.35">
      <c r="J348" t="str">
        <v/>
      </c>
      <c r="K348" t="str">
        <v/>
      </c>
    </row>
    <row r="349" spans="10:11" x14ac:dyDescent="0.35">
      <c r="J349" t="str">
        <v/>
      </c>
      <c r="K349" t="str">
        <v/>
      </c>
    </row>
    <row r="350" spans="10:11" x14ac:dyDescent="0.35">
      <c r="J350" t="str">
        <v/>
      </c>
      <c r="K350" t="str">
        <v/>
      </c>
    </row>
    <row r="351" spans="10:11" x14ac:dyDescent="0.35">
      <c r="J351" t="str">
        <v/>
      </c>
      <c r="K351" t="str">
        <v/>
      </c>
    </row>
    <row r="352" spans="10:11" x14ac:dyDescent="0.35">
      <c r="J352" t="str">
        <v/>
      </c>
      <c r="K352" t="str">
        <v/>
      </c>
    </row>
    <row r="353" spans="10:11" x14ac:dyDescent="0.35">
      <c r="J353" t="str">
        <v/>
      </c>
      <c r="K353" t="str">
        <v/>
      </c>
    </row>
    <row r="354" spans="10:11" x14ac:dyDescent="0.35">
      <c r="J354" t="str">
        <v/>
      </c>
      <c r="K354" t="str">
        <v/>
      </c>
    </row>
    <row r="355" spans="10:11" x14ac:dyDescent="0.35">
      <c r="J355" t="str">
        <v/>
      </c>
      <c r="K355" t="str">
        <v/>
      </c>
    </row>
    <row r="356" spans="10:11" x14ac:dyDescent="0.35">
      <c r="J356" t="str">
        <v/>
      </c>
      <c r="K356" t="str">
        <v/>
      </c>
    </row>
    <row r="357" spans="10:11" x14ac:dyDescent="0.35">
      <c r="J357" t="str">
        <v/>
      </c>
      <c r="K357" t="str">
        <v/>
      </c>
    </row>
    <row r="358" spans="10:11" x14ac:dyDescent="0.35">
      <c r="J358" t="str">
        <v/>
      </c>
      <c r="K358" t="str">
        <v/>
      </c>
    </row>
    <row r="359" spans="10:11" x14ac:dyDescent="0.35">
      <c r="J359" t="str">
        <v/>
      </c>
      <c r="K359" t="str">
        <v/>
      </c>
    </row>
    <row r="360" spans="10:11" x14ac:dyDescent="0.35">
      <c r="J360" t="str">
        <v/>
      </c>
      <c r="K360" t="str">
        <v/>
      </c>
    </row>
    <row r="361" spans="10:11" x14ac:dyDescent="0.35">
      <c r="J361" t="str">
        <v/>
      </c>
      <c r="K361" t="str">
        <v/>
      </c>
    </row>
    <row r="362" spans="10:11" x14ac:dyDescent="0.35">
      <c r="J362" t="str">
        <v/>
      </c>
      <c r="K362" t="str">
        <v/>
      </c>
    </row>
    <row r="363" spans="10:11" x14ac:dyDescent="0.35">
      <c r="J363" t="str">
        <v/>
      </c>
      <c r="K363" t="str">
        <v/>
      </c>
    </row>
    <row r="364" spans="10:11" x14ac:dyDescent="0.35">
      <c r="J364" t="str">
        <v/>
      </c>
      <c r="K364" t="str">
        <v/>
      </c>
    </row>
    <row r="365" spans="10:11" x14ac:dyDescent="0.35">
      <c r="J365" t="str">
        <v/>
      </c>
      <c r="K365" t="str">
        <v/>
      </c>
    </row>
    <row r="366" spans="10:11" x14ac:dyDescent="0.35">
      <c r="J366" t="str">
        <v/>
      </c>
      <c r="K366" t="str">
        <v/>
      </c>
    </row>
    <row r="367" spans="10:11" x14ac:dyDescent="0.35">
      <c r="J367" t="str">
        <v/>
      </c>
      <c r="K367" t="str">
        <v/>
      </c>
    </row>
    <row r="368" spans="10:11" x14ac:dyDescent="0.35">
      <c r="J368" t="str">
        <v/>
      </c>
      <c r="K368" t="str">
        <v/>
      </c>
    </row>
    <row r="369" spans="10:11" x14ac:dyDescent="0.35">
      <c r="J369" t="str">
        <v/>
      </c>
      <c r="K369" t="str">
        <v/>
      </c>
    </row>
    <row r="370" spans="10:11" x14ac:dyDescent="0.35">
      <c r="J370" t="str">
        <v/>
      </c>
      <c r="K370" t="str">
        <v/>
      </c>
    </row>
    <row r="371" spans="10:11" x14ac:dyDescent="0.35">
      <c r="J371" t="str">
        <v/>
      </c>
      <c r="K371" t="str">
        <v/>
      </c>
    </row>
    <row r="372" spans="10:11" x14ac:dyDescent="0.35">
      <c r="J372" t="str">
        <v/>
      </c>
      <c r="K372" t="str">
        <v/>
      </c>
    </row>
    <row r="373" spans="10:11" x14ac:dyDescent="0.35">
      <c r="J373" t="str">
        <v/>
      </c>
      <c r="K373" t="str">
        <v/>
      </c>
    </row>
    <row r="374" spans="10:11" x14ac:dyDescent="0.35">
      <c r="J374" t="str">
        <v/>
      </c>
      <c r="K374" t="str">
        <v/>
      </c>
    </row>
    <row r="375" spans="10:11" x14ac:dyDescent="0.35">
      <c r="J375" t="str">
        <v/>
      </c>
      <c r="K375" t="str">
        <v/>
      </c>
    </row>
    <row r="376" spans="10:11" x14ac:dyDescent="0.35">
      <c r="J376" t="str">
        <v/>
      </c>
      <c r="K376" t="str">
        <v/>
      </c>
    </row>
    <row r="377" spans="10:11" x14ac:dyDescent="0.35">
      <c r="J377" t="str">
        <v/>
      </c>
      <c r="K377" t="str">
        <v/>
      </c>
    </row>
    <row r="378" spans="10:11" x14ac:dyDescent="0.35">
      <c r="J378" t="str">
        <v/>
      </c>
      <c r="K378" t="str">
        <v/>
      </c>
    </row>
    <row r="379" spans="10:11" x14ac:dyDescent="0.35">
      <c r="J379" t="str">
        <v/>
      </c>
      <c r="K379" t="str">
        <v/>
      </c>
    </row>
    <row r="380" spans="10:11" x14ac:dyDescent="0.35">
      <c r="J380" t="str">
        <v/>
      </c>
      <c r="K380" t="str">
        <v/>
      </c>
    </row>
    <row r="381" spans="10:11" x14ac:dyDescent="0.35">
      <c r="J381" t="str">
        <v/>
      </c>
      <c r="K381" t="str">
        <v/>
      </c>
    </row>
    <row r="382" spans="10:11" x14ac:dyDescent="0.35">
      <c r="J382" t="str">
        <v/>
      </c>
      <c r="K382" t="str">
        <v/>
      </c>
    </row>
    <row r="383" spans="10:11" x14ac:dyDescent="0.35">
      <c r="J383" t="str">
        <v/>
      </c>
      <c r="K383" t="str">
        <v/>
      </c>
    </row>
    <row r="384" spans="10:11" x14ac:dyDescent="0.35">
      <c r="J384" t="str">
        <v/>
      </c>
      <c r="K384" t="str">
        <v/>
      </c>
    </row>
    <row r="385" spans="10:11" x14ac:dyDescent="0.35">
      <c r="J385" t="str">
        <v/>
      </c>
      <c r="K385" t="str">
        <v/>
      </c>
    </row>
    <row r="386" spans="10:11" x14ac:dyDescent="0.35">
      <c r="J386" t="str">
        <v/>
      </c>
      <c r="K386" t="str">
        <v/>
      </c>
    </row>
    <row r="387" spans="10:11" x14ac:dyDescent="0.35">
      <c r="J387" t="str">
        <v/>
      </c>
      <c r="K387" t="str">
        <v/>
      </c>
    </row>
    <row r="388" spans="10:11" x14ac:dyDescent="0.35">
      <c r="J388" t="str">
        <v/>
      </c>
      <c r="K388" t="str">
        <v/>
      </c>
    </row>
    <row r="389" spans="10:11" x14ac:dyDescent="0.35">
      <c r="J389" t="str">
        <v/>
      </c>
      <c r="K389" t="str">
        <v/>
      </c>
    </row>
    <row r="390" spans="10:11" x14ac:dyDescent="0.35">
      <c r="J390" t="str">
        <v/>
      </c>
      <c r="K390" t="str">
        <v/>
      </c>
    </row>
    <row r="391" spans="10:11" x14ac:dyDescent="0.35">
      <c r="J391" t="str">
        <v/>
      </c>
      <c r="K391" t="str">
        <v/>
      </c>
    </row>
    <row r="392" spans="10:11" x14ac:dyDescent="0.35">
      <c r="J392" t="str">
        <v/>
      </c>
      <c r="K392" t="str">
        <v/>
      </c>
    </row>
    <row r="393" spans="10:11" x14ac:dyDescent="0.35">
      <c r="J393" t="str">
        <v/>
      </c>
      <c r="K393" t="str">
        <v/>
      </c>
    </row>
    <row r="394" spans="10:11" x14ac:dyDescent="0.35">
      <c r="J394" t="str">
        <v/>
      </c>
      <c r="K394" t="str">
        <v/>
      </c>
    </row>
    <row r="395" spans="10:11" x14ac:dyDescent="0.35">
      <c r="J395" t="str">
        <v/>
      </c>
      <c r="K395" t="str">
        <v/>
      </c>
    </row>
    <row r="396" spans="10:11" x14ac:dyDescent="0.35">
      <c r="J396" t="str">
        <v/>
      </c>
      <c r="K396" t="str">
        <v/>
      </c>
    </row>
    <row r="397" spans="10:11" x14ac:dyDescent="0.35">
      <c r="J397" t="str">
        <v/>
      </c>
      <c r="K397" t="str">
        <v/>
      </c>
    </row>
    <row r="398" spans="10:11" x14ac:dyDescent="0.35">
      <c r="J398" t="str">
        <v/>
      </c>
      <c r="K398" t="str">
        <v/>
      </c>
    </row>
    <row r="399" spans="10:11" x14ac:dyDescent="0.35">
      <c r="J399" t="str">
        <v/>
      </c>
      <c r="K399" t="str">
        <v/>
      </c>
    </row>
    <row r="400" spans="10:11" x14ac:dyDescent="0.35">
      <c r="J400" t="str">
        <v/>
      </c>
      <c r="K400" t="str">
        <v/>
      </c>
    </row>
    <row r="401" spans="10:11" x14ac:dyDescent="0.35">
      <c r="J401" t="str">
        <v/>
      </c>
      <c r="K401" t="str">
        <v/>
      </c>
    </row>
    <row r="402" spans="10:11" x14ac:dyDescent="0.35">
      <c r="J402" t="str">
        <v/>
      </c>
      <c r="K402" t="str">
        <v/>
      </c>
    </row>
    <row r="403" spans="10:11" x14ac:dyDescent="0.35">
      <c r="J403" t="str">
        <v/>
      </c>
      <c r="K403" t="str">
        <v/>
      </c>
    </row>
    <row r="404" spans="10:11" x14ac:dyDescent="0.35">
      <c r="J404" t="str">
        <v/>
      </c>
      <c r="K404" t="str">
        <v/>
      </c>
    </row>
    <row r="405" spans="10:11" x14ac:dyDescent="0.35">
      <c r="J405" t="str">
        <v/>
      </c>
      <c r="K405" t="str">
        <v/>
      </c>
    </row>
    <row r="406" spans="10:11" x14ac:dyDescent="0.35">
      <c r="J406" t="str">
        <v/>
      </c>
      <c r="K406" t="str">
        <v/>
      </c>
    </row>
    <row r="407" spans="10:11" x14ac:dyDescent="0.35">
      <c r="J407" t="str">
        <v/>
      </c>
      <c r="K407" t="str">
        <v/>
      </c>
    </row>
    <row r="408" spans="10:11" x14ac:dyDescent="0.35">
      <c r="J408" t="str">
        <v/>
      </c>
      <c r="K408" t="str">
        <v/>
      </c>
    </row>
    <row r="409" spans="10:11" x14ac:dyDescent="0.35">
      <c r="J409" t="str">
        <v/>
      </c>
      <c r="K409" t="str">
        <v/>
      </c>
    </row>
    <row r="410" spans="10:11" x14ac:dyDescent="0.35">
      <c r="J410" t="str">
        <v/>
      </c>
      <c r="K410" t="str">
        <v/>
      </c>
    </row>
    <row r="411" spans="10:11" x14ac:dyDescent="0.35">
      <c r="J411" t="str">
        <v/>
      </c>
      <c r="K411" t="str">
        <v/>
      </c>
    </row>
    <row r="412" spans="10:11" x14ac:dyDescent="0.35">
      <c r="J412" t="str">
        <v/>
      </c>
      <c r="K412" t="str">
        <v/>
      </c>
    </row>
    <row r="413" spans="10:11" x14ac:dyDescent="0.35">
      <c r="J413" t="str">
        <v/>
      </c>
      <c r="K413" t="str">
        <v/>
      </c>
    </row>
    <row r="414" spans="10:11" x14ac:dyDescent="0.35">
      <c r="J414" t="str">
        <v/>
      </c>
      <c r="K414" t="str">
        <v/>
      </c>
    </row>
    <row r="415" spans="10:11" x14ac:dyDescent="0.35">
      <c r="J415" t="str">
        <v/>
      </c>
      <c r="K415" t="str">
        <v/>
      </c>
    </row>
    <row r="416" spans="10:11" x14ac:dyDescent="0.35">
      <c r="J416" t="str">
        <v/>
      </c>
      <c r="K416" t="str">
        <v/>
      </c>
    </row>
    <row r="417" spans="10:11" x14ac:dyDescent="0.35">
      <c r="J417" t="str">
        <v/>
      </c>
      <c r="K417" t="str">
        <v/>
      </c>
    </row>
    <row r="418" spans="10:11" x14ac:dyDescent="0.35">
      <c r="J418" t="str">
        <v/>
      </c>
      <c r="K418" t="str">
        <v/>
      </c>
    </row>
    <row r="419" spans="10:11" x14ac:dyDescent="0.35">
      <c r="J419" t="str">
        <v/>
      </c>
      <c r="K419" t="str">
        <v/>
      </c>
    </row>
    <row r="420" spans="10:11" x14ac:dyDescent="0.35">
      <c r="J420" t="str">
        <v/>
      </c>
      <c r="K420" t="str">
        <v/>
      </c>
    </row>
    <row r="421" spans="10:11" x14ac:dyDescent="0.35">
      <c r="J421" t="str">
        <v/>
      </c>
      <c r="K421" t="str">
        <v/>
      </c>
    </row>
    <row r="422" spans="10:11" x14ac:dyDescent="0.35">
      <c r="J422" t="str">
        <v/>
      </c>
      <c r="K422" t="str">
        <v/>
      </c>
    </row>
    <row r="423" spans="10:11" x14ac:dyDescent="0.35">
      <c r="J423" t="str">
        <v/>
      </c>
      <c r="K423" t="str">
        <v/>
      </c>
    </row>
    <row r="424" spans="10:11" x14ac:dyDescent="0.35">
      <c r="J424" t="str">
        <v/>
      </c>
      <c r="K424" t="str">
        <v/>
      </c>
    </row>
    <row r="425" spans="10:11" x14ac:dyDescent="0.35">
      <c r="J425" t="str">
        <v/>
      </c>
      <c r="K425" t="str">
        <v/>
      </c>
    </row>
    <row r="426" spans="10:11" x14ac:dyDescent="0.35">
      <c r="J426" t="str">
        <v/>
      </c>
      <c r="K426" t="str">
        <v/>
      </c>
    </row>
    <row r="427" spans="10:11" x14ac:dyDescent="0.35">
      <c r="J427" t="str">
        <v/>
      </c>
      <c r="K427" t="str">
        <v/>
      </c>
    </row>
    <row r="428" spans="10:11" x14ac:dyDescent="0.35">
      <c r="J428" t="str">
        <v/>
      </c>
      <c r="K428" t="str">
        <v/>
      </c>
    </row>
    <row r="429" spans="10:11" x14ac:dyDescent="0.35">
      <c r="J429" t="str">
        <v/>
      </c>
      <c r="K429" t="str">
        <v/>
      </c>
    </row>
    <row r="430" spans="10:11" x14ac:dyDescent="0.35">
      <c r="J430" t="str">
        <v/>
      </c>
      <c r="K430" t="str">
        <v/>
      </c>
    </row>
    <row r="431" spans="10:11" x14ac:dyDescent="0.35">
      <c r="J431" t="str">
        <v/>
      </c>
      <c r="K431" t="str">
        <v/>
      </c>
    </row>
    <row r="432" spans="10:11" x14ac:dyDescent="0.35">
      <c r="J432" t="str">
        <v/>
      </c>
      <c r="K432" t="str">
        <v/>
      </c>
    </row>
    <row r="433" spans="10:11" x14ac:dyDescent="0.35">
      <c r="J433" t="str">
        <v/>
      </c>
      <c r="K433" t="str">
        <v/>
      </c>
    </row>
    <row r="434" spans="10:11" x14ac:dyDescent="0.35">
      <c r="J434" t="str">
        <v/>
      </c>
      <c r="K434" t="str">
        <v/>
      </c>
    </row>
    <row r="435" spans="10:11" x14ac:dyDescent="0.35">
      <c r="J435" t="str">
        <v/>
      </c>
      <c r="K435" t="str">
        <v/>
      </c>
    </row>
    <row r="436" spans="10:11" x14ac:dyDescent="0.35">
      <c r="J436" t="str">
        <v/>
      </c>
      <c r="K436" t="str">
        <v/>
      </c>
    </row>
    <row r="437" spans="10:11" x14ac:dyDescent="0.35">
      <c r="J437" t="str">
        <v/>
      </c>
      <c r="K437" t="str">
        <v/>
      </c>
    </row>
    <row r="438" spans="10:11" x14ac:dyDescent="0.35">
      <c r="J438" t="str">
        <v/>
      </c>
      <c r="K438" t="str">
        <v/>
      </c>
    </row>
    <row r="439" spans="10:11" x14ac:dyDescent="0.35">
      <c r="J439" t="str">
        <v/>
      </c>
      <c r="K439" t="str">
        <v/>
      </c>
    </row>
    <row r="440" spans="10:11" x14ac:dyDescent="0.35">
      <c r="J440" t="str">
        <v/>
      </c>
      <c r="K440" t="str">
        <v/>
      </c>
    </row>
    <row r="441" spans="10:11" x14ac:dyDescent="0.35">
      <c r="J441" t="str">
        <v/>
      </c>
      <c r="K441" t="str">
        <v/>
      </c>
    </row>
    <row r="442" spans="10:11" x14ac:dyDescent="0.35">
      <c r="J442" t="str">
        <v/>
      </c>
      <c r="K442" t="str">
        <v/>
      </c>
    </row>
    <row r="443" spans="10:11" x14ac:dyDescent="0.35">
      <c r="J443" t="str">
        <v/>
      </c>
      <c r="K443" t="str">
        <v/>
      </c>
    </row>
    <row r="444" spans="10:11" x14ac:dyDescent="0.35">
      <c r="J444" t="str">
        <v/>
      </c>
      <c r="K444" t="str">
        <v/>
      </c>
    </row>
    <row r="445" spans="10:11" x14ac:dyDescent="0.35">
      <c r="J445" t="str">
        <v/>
      </c>
      <c r="K445" t="str">
        <v/>
      </c>
    </row>
    <row r="446" spans="10:11" x14ac:dyDescent="0.35">
      <c r="J446" t="str">
        <v/>
      </c>
      <c r="K446" t="str">
        <v/>
      </c>
    </row>
    <row r="447" spans="10:11" x14ac:dyDescent="0.35">
      <c r="J447" t="str">
        <v/>
      </c>
      <c r="K447" t="str">
        <v/>
      </c>
    </row>
    <row r="448" spans="10:11" x14ac:dyDescent="0.35">
      <c r="J448" t="str">
        <v/>
      </c>
      <c r="K448" t="str">
        <v/>
      </c>
    </row>
    <row r="449" spans="10:11" x14ac:dyDescent="0.35">
      <c r="J449" t="str">
        <v/>
      </c>
      <c r="K449" t="str">
        <v/>
      </c>
    </row>
    <row r="450" spans="10:11" x14ac:dyDescent="0.35">
      <c r="J450" t="str">
        <v/>
      </c>
      <c r="K450" t="str">
        <v/>
      </c>
    </row>
    <row r="451" spans="10:11" x14ac:dyDescent="0.35">
      <c r="J451" t="str">
        <v/>
      </c>
      <c r="K451" t="str">
        <v/>
      </c>
    </row>
    <row r="452" spans="10:11" x14ac:dyDescent="0.35">
      <c r="J452" t="str">
        <v/>
      </c>
      <c r="K452" t="str">
        <v/>
      </c>
    </row>
    <row r="453" spans="10:11" x14ac:dyDescent="0.35">
      <c r="J453" t="str">
        <v/>
      </c>
      <c r="K453" t="str">
        <v/>
      </c>
    </row>
    <row r="454" spans="10:11" x14ac:dyDescent="0.35">
      <c r="J454" t="str">
        <v/>
      </c>
      <c r="K454" t="str">
        <v/>
      </c>
    </row>
    <row r="455" spans="10:11" x14ac:dyDescent="0.35">
      <c r="J455" t="str">
        <v/>
      </c>
      <c r="K455" t="str">
        <v/>
      </c>
    </row>
    <row r="456" spans="10:11" x14ac:dyDescent="0.35">
      <c r="J456" t="str">
        <v/>
      </c>
      <c r="K456" t="str">
        <v/>
      </c>
    </row>
    <row r="457" spans="10:11" x14ac:dyDescent="0.35">
      <c r="J457" t="str">
        <v/>
      </c>
      <c r="K457" t="str">
        <v/>
      </c>
    </row>
    <row r="458" spans="10:11" x14ac:dyDescent="0.35">
      <c r="J458" t="str">
        <v/>
      </c>
      <c r="K458" t="str">
        <v/>
      </c>
    </row>
    <row r="459" spans="10:11" x14ac:dyDescent="0.35">
      <c r="J459" t="str">
        <v/>
      </c>
      <c r="K459" t="str">
        <v/>
      </c>
    </row>
    <row r="460" spans="10:11" x14ac:dyDescent="0.35">
      <c r="J460" t="str">
        <v/>
      </c>
      <c r="K460" t="str">
        <v/>
      </c>
    </row>
    <row r="461" spans="10:11" x14ac:dyDescent="0.35">
      <c r="J461" t="str">
        <v/>
      </c>
      <c r="K461" t="str">
        <v/>
      </c>
    </row>
    <row r="462" spans="10:11" x14ac:dyDescent="0.35">
      <c r="J462" t="str">
        <v/>
      </c>
      <c r="K462" t="str">
        <v/>
      </c>
    </row>
    <row r="463" spans="10:11" x14ac:dyDescent="0.35">
      <c r="J463" t="str">
        <v/>
      </c>
      <c r="K463" t="str">
        <v/>
      </c>
    </row>
    <row r="464" spans="10:11" x14ac:dyDescent="0.35">
      <c r="J464" t="str">
        <v/>
      </c>
      <c r="K464" t="str">
        <v/>
      </c>
    </row>
    <row r="465" spans="10:11" x14ac:dyDescent="0.35">
      <c r="J465" t="str">
        <v/>
      </c>
      <c r="K465" t="str">
        <v/>
      </c>
    </row>
    <row r="466" spans="10:11" x14ac:dyDescent="0.35">
      <c r="J466" t="str">
        <v/>
      </c>
      <c r="K466" t="str">
        <v/>
      </c>
    </row>
    <row r="467" spans="10:11" x14ac:dyDescent="0.35">
      <c r="J467" t="str">
        <v/>
      </c>
      <c r="K467" t="str">
        <v/>
      </c>
    </row>
    <row r="468" spans="10:11" x14ac:dyDescent="0.35">
      <c r="J468" t="str">
        <v/>
      </c>
      <c r="K468" t="str">
        <v/>
      </c>
    </row>
    <row r="469" spans="10:11" x14ac:dyDescent="0.35">
      <c r="J469" t="str">
        <v/>
      </c>
      <c r="K469" t="str">
        <v/>
      </c>
    </row>
    <row r="470" spans="10:11" x14ac:dyDescent="0.35">
      <c r="J470" t="str">
        <v/>
      </c>
      <c r="K470" t="str">
        <v/>
      </c>
    </row>
    <row r="471" spans="10:11" x14ac:dyDescent="0.35">
      <c r="J471" t="str">
        <v/>
      </c>
      <c r="K471" t="str">
        <v/>
      </c>
    </row>
    <row r="472" spans="10:11" x14ac:dyDescent="0.35">
      <c r="J472" t="str">
        <v/>
      </c>
      <c r="K472" t="str">
        <v/>
      </c>
    </row>
    <row r="473" spans="10:11" x14ac:dyDescent="0.35">
      <c r="J473" t="str">
        <v/>
      </c>
      <c r="K473" t="str">
        <v/>
      </c>
    </row>
    <row r="474" spans="10:11" x14ac:dyDescent="0.35">
      <c r="J474" t="str">
        <v/>
      </c>
      <c r="K474" t="str">
        <v/>
      </c>
    </row>
    <row r="475" spans="10:11" x14ac:dyDescent="0.35">
      <c r="J475" t="str">
        <v/>
      </c>
      <c r="K475" t="str">
        <v/>
      </c>
    </row>
    <row r="476" spans="10:11" x14ac:dyDescent="0.35">
      <c r="J476" t="str">
        <v/>
      </c>
      <c r="K476" t="str">
        <v/>
      </c>
    </row>
    <row r="477" spans="10:11" x14ac:dyDescent="0.35">
      <c r="J477" t="str">
        <v/>
      </c>
      <c r="K477" t="str">
        <v/>
      </c>
    </row>
    <row r="478" spans="10:11" x14ac:dyDescent="0.35">
      <c r="J478" t="str">
        <v/>
      </c>
      <c r="K478" t="str">
        <v/>
      </c>
    </row>
    <row r="479" spans="10:11" x14ac:dyDescent="0.35">
      <c r="J479" t="str">
        <v/>
      </c>
      <c r="K479" t="str">
        <v/>
      </c>
    </row>
    <row r="480" spans="10:11" x14ac:dyDescent="0.35">
      <c r="J480" t="str">
        <v/>
      </c>
      <c r="K480" t="str">
        <v/>
      </c>
    </row>
    <row r="481" spans="10:11" x14ac:dyDescent="0.35">
      <c r="J481" t="str">
        <v/>
      </c>
      <c r="K481" t="str">
        <v/>
      </c>
    </row>
    <row r="482" spans="10:11" x14ac:dyDescent="0.35">
      <c r="J482" t="str">
        <v/>
      </c>
      <c r="K482" t="str">
        <v/>
      </c>
    </row>
    <row r="483" spans="10:11" x14ac:dyDescent="0.35">
      <c r="J483" t="str">
        <v/>
      </c>
      <c r="K483" t="str">
        <v/>
      </c>
    </row>
    <row r="484" spans="10:11" x14ac:dyDescent="0.35">
      <c r="J484" t="str">
        <v/>
      </c>
      <c r="K484" t="str">
        <v/>
      </c>
    </row>
    <row r="485" spans="10:11" x14ac:dyDescent="0.35">
      <c r="J485" t="str">
        <v/>
      </c>
      <c r="K485" t="str">
        <v/>
      </c>
    </row>
    <row r="486" spans="10:11" x14ac:dyDescent="0.35">
      <c r="J486" t="str">
        <v/>
      </c>
      <c r="K486" t="str">
        <v/>
      </c>
    </row>
    <row r="487" spans="10:11" x14ac:dyDescent="0.35">
      <c r="J487" t="str">
        <v/>
      </c>
      <c r="K487" t="str">
        <v/>
      </c>
    </row>
    <row r="488" spans="10:11" x14ac:dyDescent="0.35">
      <c r="J488" t="str">
        <v/>
      </c>
      <c r="K488" t="str">
        <v/>
      </c>
    </row>
    <row r="489" spans="10:11" x14ac:dyDescent="0.35">
      <c r="J489" t="str">
        <v/>
      </c>
      <c r="K489" t="str">
        <v/>
      </c>
    </row>
    <row r="490" spans="10:11" x14ac:dyDescent="0.35">
      <c r="J490" t="str">
        <v/>
      </c>
      <c r="K490" t="str">
        <v/>
      </c>
    </row>
    <row r="491" spans="10:11" x14ac:dyDescent="0.35">
      <c r="J491" t="str">
        <v/>
      </c>
      <c r="K491" t="str">
        <v/>
      </c>
    </row>
    <row r="492" spans="10:11" x14ac:dyDescent="0.35">
      <c r="J492" t="str">
        <v/>
      </c>
      <c r="K492" t="str">
        <v/>
      </c>
    </row>
    <row r="493" spans="10:11" x14ac:dyDescent="0.35">
      <c r="J493" t="str">
        <v/>
      </c>
      <c r="K493" t="str">
        <v/>
      </c>
    </row>
    <row r="494" spans="10:11" x14ac:dyDescent="0.35">
      <c r="J494" t="str">
        <v/>
      </c>
      <c r="K494" t="str">
        <v/>
      </c>
    </row>
    <row r="495" spans="10:11" x14ac:dyDescent="0.35">
      <c r="J495" t="str">
        <v/>
      </c>
      <c r="K495" t="str">
        <v/>
      </c>
    </row>
    <row r="496" spans="10:11" x14ac:dyDescent="0.35">
      <c r="J496" t="str">
        <v/>
      </c>
      <c r="K496" t="str">
        <v/>
      </c>
    </row>
    <row r="497" spans="10:11" x14ac:dyDescent="0.35">
      <c r="J497" t="str">
        <v/>
      </c>
      <c r="K497" t="str">
        <v/>
      </c>
    </row>
    <row r="498" spans="10:11" x14ac:dyDescent="0.35">
      <c r="J498" t="str">
        <v/>
      </c>
      <c r="K498" t="str">
        <v/>
      </c>
    </row>
    <row r="499" spans="10:11" x14ac:dyDescent="0.35">
      <c r="J499" t="str">
        <v/>
      </c>
      <c r="K499" t="str">
        <v/>
      </c>
    </row>
    <row r="500" spans="10:11" x14ac:dyDescent="0.35">
      <c r="J500" t="str">
        <v/>
      </c>
      <c r="K500" t="str">
        <v/>
      </c>
    </row>
    <row r="501" spans="10:11" x14ac:dyDescent="0.35">
      <c r="J501" t="str">
        <v/>
      </c>
      <c r="K501" t="str">
        <v/>
      </c>
    </row>
    <row r="502" spans="10:11" x14ac:dyDescent="0.35">
      <c r="J502" t="str">
        <v/>
      </c>
      <c r="K502" t="str">
        <v/>
      </c>
    </row>
    <row r="503" spans="10:11" x14ac:dyDescent="0.35">
      <c r="J503" t="str">
        <v/>
      </c>
      <c r="K503" t="str">
        <v/>
      </c>
    </row>
    <row r="504" spans="10:11" x14ac:dyDescent="0.35">
      <c r="J504" t="str">
        <v/>
      </c>
      <c r="K504" t="str">
        <v/>
      </c>
    </row>
    <row r="505" spans="10:11" x14ac:dyDescent="0.35">
      <c r="J505" t="str">
        <v/>
      </c>
      <c r="K505" t="str">
        <v/>
      </c>
    </row>
    <row r="506" spans="10:11" x14ac:dyDescent="0.35">
      <c r="J506" t="str">
        <v/>
      </c>
      <c r="K506" t="str">
        <v/>
      </c>
    </row>
    <row r="507" spans="10:11" x14ac:dyDescent="0.35">
      <c r="J507" t="str">
        <v/>
      </c>
      <c r="K507" t="str">
        <v/>
      </c>
    </row>
    <row r="508" spans="10:11" x14ac:dyDescent="0.35">
      <c r="J508" t="str">
        <v/>
      </c>
      <c r="K508" t="str">
        <v/>
      </c>
    </row>
    <row r="509" spans="10:11" x14ac:dyDescent="0.35">
      <c r="J509" t="str">
        <v/>
      </c>
      <c r="K509" t="str">
        <v/>
      </c>
    </row>
    <row r="510" spans="10:11" x14ac:dyDescent="0.35">
      <c r="J510" t="str">
        <v/>
      </c>
      <c r="K510" t="str">
        <v/>
      </c>
    </row>
    <row r="511" spans="10:11" x14ac:dyDescent="0.35">
      <c r="J511" t="str">
        <v/>
      </c>
      <c r="K511" t="str">
        <v/>
      </c>
    </row>
    <row r="512" spans="10:11" x14ac:dyDescent="0.35">
      <c r="J512" t="str">
        <v/>
      </c>
      <c r="K512" t="str">
        <v/>
      </c>
    </row>
    <row r="513" spans="10:11" x14ac:dyDescent="0.35">
      <c r="J513" t="str">
        <v/>
      </c>
      <c r="K513" t="str">
        <v/>
      </c>
    </row>
    <row r="514" spans="10:11" x14ac:dyDescent="0.35">
      <c r="J514" t="str">
        <v/>
      </c>
      <c r="K514" t="str">
        <v/>
      </c>
    </row>
    <row r="515" spans="10:11" x14ac:dyDescent="0.35">
      <c r="J515" t="str">
        <v/>
      </c>
      <c r="K515" t="str">
        <v/>
      </c>
    </row>
    <row r="516" spans="10:11" x14ac:dyDescent="0.35">
      <c r="J516" t="str">
        <v/>
      </c>
      <c r="K516" t="str">
        <v/>
      </c>
    </row>
    <row r="517" spans="10:11" x14ac:dyDescent="0.35">
      <c r="J517" t="str">
        <v/>
      </c>
      <c r="K517" t="str">
        <v/>
      </c>
    </row>
    <row r="518" spans="10:11" x14ac:dyDescent="0.35">
      <c r="J518" t="str">
        <v/>
      </c>
      <c r="K518" t="str">
        <v/>
      </c>
    </row>
    <row r="519" spans="10:11" x14ac:dyDescent="0.35">
      <c r="J519" t="str">
        <v/>
      </c>
      <c r="K519" t="str">
        <v/>
      </c>
    </row>
    <row r="520" spans="10:11" x14ac:dyDescent="0.35">
      <c r="J520" t="str">
        <v/>
      </c>
      <c r="K520" t="str">
        <v/>
      </c>
    </row>
    <row r="521" spans="10:11" x14ac:dyDescent="0.35">
      <c r="J521" t="str">
        <v/>
      </c>
      <c r="K521" t="str">
        <v/>
      </c>
    </row>
    <row r="522" spans="10:11" x14ac:dyDescent="0.35">
      <c r="J522" t="str">
        <v/>
      </c>
      <c r="K522" t="str">
        <v/>
      </c>
    </row>
    <row r="523" spans="10:11" x14ac:dyDescent="0.35">
      <c r="J523" t="str">
        <v/>
      </c>
      <c r="K523" t="str">
        <v/>
      </c>
    </row>
    <row r="524" spans="10:11" x14ac:dyDescent="0.35">
      <c r="J524" t="str">
        <v/>
      </c>
      <c r="K524" t="str">
        <v/>
      </c>
    </row>
    <row r="525" spans="10:11" x14ac:dyDescent="0.35">
      <c r="J525" t="str">
        <v/>
      </c>
      <c r="K525" t="str">
        <v/>
      </c>
    </row>
    <row r="526" spans="10:11" x14ac:dyDescent="0.35">
      <c r="J526" t="str">
        <v/>
      </c>
      <c r="K526" t="str">
        <v/>
      </c>
    </row>
    <row r="527" spans="10:11" x14ac:dyDescent="0.35">
      <c r="J527" t="str">
        <v/>
      </c>
      <c r="K527" t="str">
        <v/>
      </c>
    </row>
    <row r="528" spans="10:11" x14ac:dyDescent="0.35">
      <c r="J528" t="str">
        <v/>
      </c>
      <c r="K528" t="str">
        <v/>
      </c>
    </row>
    <row r="529" spans="10:11" x14ac:dyDescent="0.35">
      <c r="J529" t="str">
        <v/>
      </c>
      <c r="K529" t="str">
        <v/>
      </c>
    </row>
    <row r="530" spans="10:11" x14ac:dyDescent="0.35">
      <c r="J530" t="str">
        <v/>
      </c>
      <c r="K530" t="str">
        <v/>
      </c>
    </row>
    <row r="531" spans="10:11" x14ac:dyDescent="0.35">
      <c r="J531" t="str">
        <v/>
      </c>
      <c r="K531" t="str">
        <v/>
      </c>
    </row>
    <row r="532" spans="10:11" x14ac:dyDescent="0.35">
      <c r="J532" t="str">
        <v/>
      </c>
      <c r="K532" t="str">
        <v/>
      </c>
    </row>
    <row r="533" spans="10:11" x14ac:dyDescent="0.35">
      <c r="J533" t="str">
        <v/>
      </c>
      <c r="K533" t="str">
        <v/>
      </c>
    </row>
    <row r="534" spans="10:11" x14ac:dyDescent="0.35">
      <c r="J534" t="str">
        <v/>
      </c>
      <c r="K534" t="str">
        <v/>
      </c>
    </row>
    <row r="535" spans="10:11" x14ac:dyDescent="0.35">
      <c r="J535" t="str">
        <v/>
      </c>
      <c r="K535" t="str">
        <v/>
      </c>
    </row>
    <row r="536" spans="10:11" x14ac:dyDescent="0.35">
      <c r="J536" t="str">
        <v/>
      </c>
      <c r="K536" t="str">
        <v/>
      </c>
    </row>
    <row r="537" spans="10:11" x14ac:dyDescent="0.35">
      <c r="J537" t="str">
        <v/>
      </c>
      <c r="K537" t="str">
        <v/>
      </c>
    </row>
    <row r="538" spans="10:11" x14ac:dyDescent="0.35">
      <c r="J538" t="str">
        <v/>
      </c>
      <c r="K538" t="str">
        <v/>
      </c>
    </row>
    <row r="539" spans="10:11" x14ac:dyDescent="0.35">
      <c r="J539" t="str">
        <v/>
      </c>
      <c r="K539" t="str">
        <v/>
      </c>
    </row>
    <row r="540" spans="10:11" x14ac:dyDescent="0.35">
      <c r="J540" t="str">
        <v/>
      </c>
      <c r="K540" t="str">
        <v/>
      </c>
    </row>
    <row r="541" spans="10:11" x14ac:dyDescent="0.35">
      <c r="J541" t="str">
        <v/>
      </c>
      <c r="K541" t="str">
        <v/>
      </c>
    </row>
    <row r="542" spans="10:11" x14ac:dyDescent="0.35">
      <c r="J542" t="str">
        <v/>
      </c>
      <c r="K542" t="str">
        <v/>
      </c>
    </row>
    <row r="543" spans="10:11" x14ac:dyDescent="0.35">
      <c r="J543" t="str">
        <v/>
      </c>
      <c r="K543" t="str">
        <v/>
      </c>
    </row>
    <row r="544" spans="10:11" x14ac:dyDescent="0.35">
      <c r="J544" t="str">
        <v/>
      </c>
      <c r="K544" t="str">
        <v/>
      </c>
    </row>
    <row r="545" spans="10:11" x14ac:dyDescent="0.35">
      <c r="J545" t="str">
        <v/>
      </c>
      <c r="K545" t="str">
        <v/>
      </c>
    </row>
    <row r="546" spans="10:11" x14ac:dyDescent="0.35">
      <c r="J546" t="str">
        <v/>
      </c>
      <c r="K546" t="str">
        <v/>
      </c>
    </row>
    <row r="547" spans="10:11" x14ac:dyDescent="0.35">
      <c r="J547" t="str">
        <v/>
      </c>
      <c r="K547" t="str">
        <v/>
      </c>
    </row>
    <row r="548" spans="10:11" x14ac:dyDescent="0.35">
      <c r="J548" t="str">
        <v/>
      </c>
      <c r="K548" t="str">
        <v/>
      </c>
    </row>
    <row r="549" spans="10:11" x14ac:dyDescent="0.35">
      <c r="J549" t="str">
        <v/>
      </c>
      <c r="K549" t="str">
        <v/>
      </c>
    </row>
    <row r="550" spans="10:11" x14ac:dyDescent="0.35">
      <c r="J550" t="str">
        <v/>
      </c>
      <c r="K550" t="str">
        <v/>
      </c>
    </row>
    <row r="551" spans="10:11" x14ac:dyDescent="0.35">
      <c r="J551" t="str">
        <v/>
      </c>
      <c r="K551" t="str">
        <v/>
      </c>
    </row>
    <row r="552" spans="10:11" x14ac:dyDescent="0.35">
      <c r="J552" t="str">
        <v/>
      </c>
      <c r="K552" t="str">
        <v/>
      </c>
    </row>
    <row r="553" spans="10:11" x14ac:dyDescent="0.35">
      <c r="J553" t="str">
        <v/>
      </c>
      <c r="K553" t="str">
        <v/>
      </c>
    </row>
    <row r="554" spans="10:11" x14ac:dyDescent="0.35">
      <c r="J554" t="str">
        <v/>
      </c>
      <c r="K554" t="str">
        <v/>
      </c>
    </row>
    <row r="555" spans="10:11" x14ac:dyDescent="0.35">
      <c r="J555" t="str">
        <v/>
      </c>
      <c r="K555" t="str">
        <v/>
      </c>
    </row>
    <row r="556" spans="10:11" x14ac:dyDescent="0.35">
      <c r="J556" t="str">
        <v/>
      </c>
      <c r="K556" t="str">
        <v/>
      </c>
    </row>
    <row r="557" spans="10:11" x14ac:dyDescent="0.35">
      <c r="J557" t="str">
        <v/>
      </c>
      <c r="K557" t="str">
        <v/>
      </c>
    </row>
    <row r="558" spans="10:11" x14ac:dyDescent="0.35">
      <c r="J558" t="str">
        <v/>
      </c>
      <c r="K558" t="str">
        <v/>
      </c>
    </row>
    <row r="559" spans="10:11" x14ac:dyDescent="0.35">
      <c r="J559" t="str">
        <v/>
      </c>
      <c r="K559" t="str">
        <v/>
      </c>
    </row>
    <row r="560" spans="10:11" x14ac:dyDescent="0.35">
      <c r="J560" t="str">
        <v/>
      </c>
      <c r="K560" t="str">
        <v/>
      </c>
    </row>
    <row r="561" spans="10:11" x14ac:dyDescent="0.35">
      <c r="J561" t="str">
        <v/>
      </c>
      <c r="K561" t="str">
        <v/>
      </c>
    </row>
    <row r="562" spans="10:11" x14ac:dyDescent="0.35">
      <c r="J562" t="str">
        <v/>
      </c>
      <c r="K562" t="str">
        <v/>
      </c>
    </row>
    <row r="563" spans="10:11" x14ac:dyDescent="0.35">
      <c r="J563" t="str">
        <v/>
      </c>
      <c r="K563" t="str">
        <v/>
      </c>
    </row>
    <row r="564" spans="10:11" x14ac:dyDescent="0.35">
      <c r="J564" t="str">
        <v/>
      </c>
      <c r="K564" t="str">
        <v/>
      </c>
    </row>
    <row r="565" spans="10:11" x14ac:dyDescent="0.35">
      <c r="J565" t="str">
        <v/>
      </c>
      <c r="K565" t="str">
        <v/>
      </c>
    </row>
    <row r="566" spans="10:11" x14ac:dyDescent="0.35">
      <c r="J566" t="str">
        <v/>
      </c>
      <c r="K566" t="str">
        <v/>
      </c>
    </row>
    <row r="567" spans="10:11" x14ac:dyDescent="0.35">
      <c r="J567" t="str">
        <v/>
      </c>
      <c r="K567" t="str">
        <v/>
      </c>
    </row>
    <row r="568" spans="10:11" x14ac:dyDescent="0.35">
      <c r="J568" t="str">
        <v/>
      </c>
      <c r="K568" t="str">
        <v/>
      </c>
    </row>
    <row r="569" spans="10:11" x14ac:dyDescent="0.35">
      <c r="J569" t="str">
        <v/>
      </c>
      <c r="K569" t="str">
        <v/>
      </c>
    </row>
    <row r="570" spans="10:11" x14ac:dyDescent="0.35">
      <c r="J570" t="str">
        <v/>
      </c>
      <c r="K570" t="str">
        <v/>
      </c>
    </row>
    <row r="571" spans="10:11" x14ac:dyDescent="0.35">
      <c r="J571" t="str">
        <v/>
      </c>
      <c r="K571" t="str">
        <v/>
      </c>
    </row>
    <row r="572" spans="10:11" x14ac:dyDescent="0.35">
      <c r="J572" t="str">
        <v/>
      </c>
      <c r="K572" t="str">
        <v/>
      </c>
    </row>
    <row r="573" spans="10:11" x14ac:dyDescent="0.35">
      <c r="J573" t="str">
        <v/>
      </c>
      <c r="K573" t="str">
        <v/>
      </c>
    </row>
    <row r="574" spans="10:11" x14ac:dyDescent="0.35">
      <c r="J574" t="str">
        <v/>
      </c>
      <c r="K574" t="str">
        <v/>
      </c>
    </row>
    <row r="575" spans="10:11" x14ac:dyDescent="0.35">
      <c r="J575" t="str">
        <v/>
      </c>
      <c r="K575" t="str">
        <v/>
      </c>
    </row>
    <row r="576" spans="10:11" x14ac:dyDescent="0.35">
      <c r="J576" t="str">
        <v/>
      </c>
      <c r="K576" t="str">
        <v/>
      </c>
    </row>
    <row r="577" spans="10:11" x14ac:dyDescent="0.35">
      <c r="J577" t="str">
        <v/>
      </c>
      <c r="K577" t="str">
        <v/>
      </c>
    </row>
    <row r="578" spans="10:11" x14ac:dyDescent="0.35">
      <c r="J578" t="str">
        <v/>
      </c>
      <c r="K578" t="str">
        <v/>
      </c>
    </row>
    <row r="579" spans="10:11" x14ac:dyDescent="0.35">
      <c r="J579" t="str">
        <v/>
      </c>
      <c r="K579" t="str">
        <v/>
      </c>
    </row>
    <row r="580" spans="10:11" x14ac:dyDescent="0.35">
      <c r="J580" t="str">
        <v/>
      </c>
      <c r="K580" t="str">
        <v/>
      </c>
    </row>
    <row r="581" spans="10:11" x14ac:dyDescent="0.35">
      <c r="J581" t="str">
        <v/>
      </c>
      <c r="K581" t="str">
        <v/>
      </c>
    </row>
    <row r="582" spans="10:11" x14ac:dyDescent="0.35">
      <c r="J582" t="str">
        <v/>
      </c>
      <c r="K582" t="str">
        <v/>
      </c>
    </row>
    <row r="583" spans="10:11" x14ac:dyDescent="0.35">
      <c r="J583" t="str">
        <v/>
      </c>
      <c r="K583" t="str">
        <v/>
      </c>
    </row>
    <row r="584" spans="10:11" x14ac:dyDescent="0.35">
      <c r="J584" t="str">
        <v/>
      </c>
      <c r="K584" t="str">
        <v/>
      </c>
    </row>
    <row r="585" spans="10:11" x14ac:dyDescent="0.35">
      <c r="J585" t="str">
        <v/>
      </c>
      <c r="K585" t="str">
        <v/>
      </c>
    </row>
    <row r="586" spans="10:11" x14ac:dyDescent="0.35">
      <c r="J586" t="str">
        <v/>
      </c>
      <c r="K586" t="str">
        <v/>
      </c>
    </row>
    <row r="587" spans="10:11" x14ac:dyDescent="0.35">
      <c r="J587" t="str">
        <v/>
      </c>
      <c r="K587" t="str">
        <v/>
      </c>
    </row>
    <row r="588" spans="10:11" x14ac:dyDescent="0.35">
      <c r="J588" t="str">
        <v/>
      </c>
      <c r="K588" t="str">
        <v/>
      </c>
    </row>
    <row r="589" spans="10:11" x14ac:dyDescent="0.35">
      <c r="J589" t="str">
        <v/>
      </c>
      <c r="K589" t="str">
        <v/>
      </c>
    </row>
    <row r="590" spans="10:11" x14ac:dyDescent="0.35">
      <c r="J590" t="str">
        <v/>
      </c>
      <c r="K590" t="str">
        <v/>
      </c>
    </row>
    <row r="591" spans="10:11" x14ac:dyDescent="0.35">
      <c r="J591" t="str">
        <v/>
      </c>
      <c r="K591" t="str">
        <v/>
      </c>
    </row>
    <row r="592" spans="10:11" x14ac:dyDescent="0.35">
      <c r="J592" t="str">
        <v/>
      </c>
      <c r="K592" t="str">
        <v/>
      </c>
    </row>
    <row r="593" spans="10:11" x14ac:dyDescent="0.35">
      <c r="J593" t="str">
        <v/>
      </c>
      <c r="K593" t="str">
        <v/>
      </c>
    </row>
    <row r="594" spans="10:11" x14ac:dyDescent="0.35">
      <c r="J594" t="str">
        <v/>
      </c>
      <c r="K594" t="str">
        <v/>
      </c>
    </row>
    <row r="595" spans="10:11" x14ac:dyDescent="0.35">
      <c r="J595" t="str">
        <v/>
      </c>
      <c r="K595" t="str">
        <v/>
      </c>
    </row>
    <row r="596" spans="10:11" x14ac:dyDescent="0.35">
      <c r="J596" t="str">
        <v/>
      </c>
      <c r="K596" t="str">
        <v/>
      </c>
    </row>
    <row r="597" spans="10:11" x14ac:dyDescent="0.35">
      <c r="J597" t="str">
        <v/>
      </c>
      <c r="K597" t="str">
        <v/>
      </c>
    </row>
    <row r="598" spans="10:11" x14ac:dyDescent="0.35">
      <c r="J598" t="str">
        <v/>
      </c>
      <c r="K598" t="str">
        <v/>
      </c>
    </row>
    <row r="599" spans="10:11" x14ac:dyDescent="0.35">
      <c r="J599" t="str">
        <v/>
      </c>
      <c r="K599" t="str">
        <v/>
      </c>
    </row>
    <row r="600" spans="10:11" x14ac:dyDescent="0.35">
      <c r="J600" t="str">
        <v/>
      </c>
      <c r="K600" t="str">
        <v/>
      </c>
    </row>
    <row r="601" spans="10:11" x14ac:dyDescent="0.35">
      <c r="J601" t="str">
        <v/>
      </c>
      <c r="K601" t="str">
        <v/>
      </c>
    </row>
    <row r="602" spans="10:11" x14ac:dyDescent="0.35">
      <c r="J602" t="str">
        <v/>
      </c>
      <c r="K602" t="str">
        <v/>
      </c>
    </row>
    <row r="603" spans="10:11" x14ac:dyDescent="0.35">
      <c r="J603" t="str">
        <v/>
      </c>
      <c r="K603" t="str">
        <v/>
      </c>
    </row>
    <row r="604" spans="10:11" x14ac:dyDescent="0.35">
      <c r="J604" t="str">
        <v/>
      </c>
      <c r="K604" t="str">
        <v/>
      </c>
    </row>
    <row r="605" spans="10:11" x14ac:dyDescent="0.35">
      <c r="J605" t="str">
        <v/>
      </c>
      <c r="K605" t="str">
        <v/>
      </c>
    </row>
    <row r="606" spans="10:11" x14ac:dyDescent="0.35">
      <c r="J606" t="str">
        <v/>
      </c>
      <c r="K606" t="str">
        <v/>
      </c>
    </row>
    <row r="607" spans="10:11" x14ac:dyDescent="0.35">
      <c r="J607" t="str">
        <v/>
      </c>
      <c r="K607" t="str">
        <v/>
      </c>
    </row>
    <row r="608" spans="10:11" x14ac:dyDescent="0.35">
      <c r="J608" t="str">
        <v/>
      </c>
      <c r="K608" t="str">
        <v/>
      </c>
    </row>
    <row r="609" spans="10:11" x14ac:dyDescent="0.35">
      <c r="J609" t="str">
        <v/>
      </c>
      <c r="K609" t="str">
        <v/>
      </c>
    </row>
    <row r="610" spans="10:11" x14ac:dyDescent="0.35">
      <c r="J610" t="str">
        <v/>
      </c>
      <c r="K610" t="str">
        <v/>
      </c>
    </row>
    <row r="611" spans="10:11" x14ac:dyDescent="0.35">
      <c r="J611" t="str">
        <v/>
      </c>
      <c r="K611" t="str">
        <v/>
      </c>
    </row>
    <row r="612" spans="10:11" x14ac:dyDescent="0.35">
      <c r="J612" t="str">
        <v/>
      </c>
      <c r="K612" t="str">
        <v/>
      </c>
    </row>
    <row r="613" spans="10:11" x14ac:dyDescent="0.35">
      <c r="J613" t="str">
        <v/>
      </c>
      <c r="K613" t="str">
        <v/>
      </c>
    </row>
    <row r="614" spans="10:11" x14ac:dyDescent="0.35">
      <c r="J614" t="str">
        <v/>
      </c>
      <c r="K614" t="str">
        <v/>
      </c>
    </row>
    <row r="615" spans="10:11" x14ac:dyDescent="0.35">
      <c r="J615" t="str">
        <v/>
      </c>
      <c r="K615" t="str">
        <v/>
      </c>
    </row>
    <row r="616" spans="10:11" x14ac:dyDescent="0.35">
      <c r="J616" t="str">
        <v/>
      </c>
      <c r="K616" t="str">
        <v/>
      </c>
    </row>
    <row r="617" spans="10:11" x14ac:dyDescent="0.35">
      <c r="J617" t="str">
        <v/>
      </c>
      <c r="K617" t="str">
        <v/>
      </c>
    </row>
    <row r="618" spans="10:11" x14ac:dyDescent="0.35">
      <c r="J618" t="str">
        <v/>
      </c>
      <c r="K618" t="str">
        <v/>
      </c>
    </row>
    <row r="619" spans="10:11" x14ac:dyDescent="0.35">
      <c r="J619" t="str">
        <v/>
      </c>
      <c r="K619" t="str">
        <v/>
      </c>
    </row>
    <row r="620" spans="10:11" x14ac:dyDescent="0.35">
      <c r="J620" t="str">
        <v/>
      </c>
      <c r="K620" t="str">
        <v/>
      </c>
    </row>
    <row r="621" spans="10:11" x14ac:dyDescent="0.35">
      <c r="J621" t="str">
        <v/>
      </c>
      <c r="K621" t="str">
        <v/>
      </c>
    </row>
    <row r="622" spans="10:11" x14ac:dyDescent="0.35">
      <c r="J622" t="str">
        <v/>
      </c>
      <c r="K622" t="str">
        <v/>
      </c>
    </row>
    <row r="623" spans="10:11" x14ac:dyDescent="0.35">
      <c r="J623" t="str">
        <v/>
      </c>
      <c r="K623" t="str">
        <v/>
      </c>
    </row>
    <row r="624" spans="10:11" x14ac:dyDescent="0.35">
      <c r="J624" t="str">
        <v/>
      </c>
      <c r="K624" t="str">
        <v/>
      </c>
    </row>
    <row r="625" spans="10:11" x14ac:dyDescent="0.35">
      <c r="J625" t="str">
        <v/>
      </c>
      <c r="K625" t="str">
        <v/>
      </c>
    </row>
    <row r="626" spans="10:11" x14ac:dyDescent="0.35">
      <c r="J626" t="str">
        <v/>
      </c>
      <c r="K626" t="str">
        <v/>
      </c>
    </row>
    <row r="627" spans="10:11" x14ac:dyDescent="0.35">
      <c r="J627" t="str">
        <v/>
      </c>
      <c r="K627" t="str">
        <v/>
      </c>
    </row>
    <row r="628" spans="10:11" x14ac:dyDescent="0.35">
      <c r="J628" t="str">
        <v/>
      </c>
      <c r="K628" t="str">
        <v/>
      </c>
    </row>
    <row r="629" spans="10:11" x14ac:dyDescent="0.35">
      <c r="J629" t="str">
        <v/>
      </c>
      <c r="K629" t="str">
        <v/>
      </c>
    </row>
    <row r="630" spans="10:11" x14ac:dyDescent="0.35">
      <c r="J630" t="str">
        <v/>
      </c>
      <c r="K630" t="str">
        <v/>
      </c>
    </row>
    <row r="631" spans="10:11" x14ac:dyDescent="0.35">
      <c r="J631" t="str">
        <v/>
      </c>
      <c r="K631" t="str">
        <v/>
      </c>
    </row>
    <row r="632" spans="10:11" x14ac:dyDescent="0.35">
      <c r="J632" t="str">
        <v/>
      </c>
      <c r="K632" t="str">
        <v/>
      </c>
    </row>
    <row r="633" spans="10:11" x14ac:dyDescent="0.35">
      <c r="J633" t="str">
        <v/>
      </c>
      <c r="K633" t="str">
        <v/>
      </c>
    </row>
    <row r="634" spans="10:11" x14ac:dyDescent="0.35">
      <c r="J634" t="str">
        <v/>
      </c>
      <c r="K634" t="str">
        <v/>
      </c>
    </row>
    <row r="635" spans="10:11" x14ac:dyDescent="0.35">
      <c r="J635" t="str">
        <v/>
      </c>
      <c r="K635" t="str">
        <v/>
      </c>
    </row>
    <row r="636" spans="10:11" x14ac:dyDescent="0.35">
      <c r="J636" t="str">
        <v/>
      </c>
      <c r="K636" t="str">
        <v/>
      </c>
    </row>
    <row r="637" spans="10:11" x14ac:dyDescent="0.35">
      <c r="J637" t="str">
        <v/>
      </c>
      <c r="K637" t="str">
        <v/>
      </c>
    </row>
    <row r="638" spans="10:11" x14ac:dyDescent="0.35">
      <c r="J638" t="str">
        <v/>
      </c>
      <c r="K638" t="str">
        <v/>
      </c>
    </row>
    <row r="639" spans="10:11" x14ac:dyDescent="0.35">
      <c r="J639" t="str">
        <v/>
      </c>
      <c r="K639" t="str">
        <v/>
      </c>
    </row>
    <row r="640" spans="10:11" x14ac:dyDescent="0.35">
      <c r="J640" t="str">
        <v/>
      </c>
      <c r="K640" t="str">
        <v/>
      </c>
    </row>
    <row r="641" spans="10:11" x14ac:dyDescent="0.35">
      <c r="J641" t="str">
        <v/>
      </c>
      <c r="K641" t="str">
        <v/>
      </c>
    </row>
    <row r="642" spans="10:11" x14ac:dyDescent="0.35">
      <c r="J642" t="str">
        <v/>
      </c>
      <c r="K642" t="str">
        <v/>
      </c>
    </row>
    <row r="643" spans="10:11" x14ac:dyDescent="0.35">
      <c r="J643" t="str">
        <v/>
      </c>
      <c r="K643" t="str">
        <v/>
      </c>
    </row>
    <row r="644" spans="10:11" x14ac:dyDescent="0.35">
      <c r="J644" t="str">
        <v/>
      </c>
      <c r="K644" t="str">
        <v/>
      </c>
    </row>
    <row r="645" spans="10:11" x14ac:dyDescent="0.35">
      <c r="J645" t="str">
        <v/>
      </c>
      <c r="K645" t="str">
        <v/>
      </c>
    </row>
    <row r="646" spans="10:11" x14ac:dyDescent="0.35">
      <c r="J646" t="str">
        <v/>
      </c>
      <c r="K646" t="str">
        <v/>
      </c>
    </row>
    <row r="647" spans="10:11" x14ac:dyDescent="0.35">
      <c r="J647" t="str">
        <v/>
      </c>
      <c r="K647" t="str">
        <v/>
      </c>
    </row>
    <row r="648" spans="10:11" x14ac:dyDescent="0.35">
      <c r="J648" t="str">
        <v/>
      </c>
      <c r="K648" t="str">
        <v/>
      </c>
    </row>
    <row r="649" spans="10:11" x14ac:dyDescent="0.35">
      <c r="J649" t="str">
        <v/>
      </c>
      <c r="K649" t="str">
        <v/>
      </c>
    </row>
    <row r="650" spans="10:11" x14ac:dyDescent="0.35">
      <c r="J650" t="str">
        <v/>
      </c>
      <c r="K650" t="str">
        <v/>
      </c>
    </row>
    <row r="651" spans="10:11" x14ac:dyDescent="0.35">
      <c r="J651" t="str">
        <v/>
      </c>
      <c r="K651" t="str">
        <v/>
      </c>
    </row>
    <row r="652" spans="10:11" x14ac:dyDescent="0.35">
      <c r="J652" t="str">
        <v/>
      </c>
      <c r="K652" t="str">
        <v/>
      </c>
    </row>
    <row r="653" spans="10:11" x14ac:dyDescent="0.35">
      <c r="J653" t="str">
        <v/>
      </c>
      <c r="K653" t="str">
        <v/>
      </c>
    </row>
    <row r="654" spans="10:11" x14ac:dyDescent="0.35">
      <c r="J654" t="str">
        <v/>
      </c>
      <c r="K654" t="str">
        <v/>
      </c>
    </row>
    <row r="655" spans="10:11" x14ac:dyDescent="0.35">
      <c r="J655" t="str">
        <v/>
      </c>
      <c r="K655" t="str">
        <v/>
      </c>
    </row>
    <row r="656" spans="10:11" x14ac:dyDescent="0.35">
      <c r="J656" t="str">
        <v/>
      </c>
      <c r="K656" t="str">
        <v/>
      </c>
    </row>
    <row r="657" spans="10:11" x14ac:dyDescent="0.35">
      <c r="J657" t="str">
        <v/>
      </c>
      <c r="K657" t="str">
        <v/>
      </c>
    </row>
    <row r="658" spans="10:11" x14ac:dyDescent="0.35">
      <c r="J658" t="str">
        <v/>
      </c>
      <c r="K658" t="str">
        <v/>
      </c>
    </row>
    <row r="659" spans="10:11" x14ac:dyDescent="0.35">
      <c r="J659" t="str">
        <v/>
      </c>
      <c r="K659" t="str">
        <v/>
      </c>
    </row>
    <row r="660" spans="10:11" x14ac:dyDescent="0.35">
      <c r="J660" t="str">
        <v/>
      </c>
      <c r="K660" t="str">
        <v/>
      </c>
    </row>
    <row r="661" spans="10:11" x14ac:dyDescent="0.35">
      <c r="J661" t="str">
        <v/>
      </c>
      <c r="K661" t="str">
        <v/>
      </c>
    </row>
    <row r="662" spans="10:11" x14ac:dyDescent="0.35">
      <c r="J662" t="str">
        <v/>
      </c>
      <c r="K662" t="str">
        <v/>
      </c>
    </row>
    <row r="663" spans="10:11" x14ac:dyDescent="0.35">
      <c r="J663" t="str">
        <v/>
      </c>
      <c r="K663" t="str">
        <v/>
      </c>
    </row>
    <row r="664" spans="10:11" x14ac:dyDescent="0.35">
      <c r="J664" t="str">
        <v/>
      </c>
      <c r="K664" t="str">
        <v/>
      </c>
    </row>
    <row r="665" spans="10:11" x14ac:dyDescent="0.35">
      <c r="J665" t="str">
        <v/>
      </c>
      <c r="K665" t="str">
        <v/>
      </c>
    </row>
    <row r="666" spans="10:11" x14ac:dyDescent="0.35">
      <c r="J666" t="str">
        <v/>
      </c>
      <c r="K666" t="str">
        <v/>
      </c>
    </row>
    <row r="667" spans="10:11" x14ac:dyDescent="0.35">
      <c r="J667" t="str">
        <v/>
      </c>
      <c r="K667" t="str">
        <v/>
      </c>
    </row>
    <row r="668" spans="10:11" x14ac:dyDescent="0.35">
      <c r="J668" t="str">
        <v/>
      </c>
      <c r="K668" t="str">
        <v/>
      </c>
    </row>
    <row r="669" spans="10:11" x14ac:dyDescent="0.35">
      <c r="J669" t="str">
        <v/>
      </c>
      <c r="K669" t="str">
        <v/>
      </c>
    </row>
    <row r="670" spans="10:11" x14ac:dyDescent="0.35">
      <c r="J670" t="str">
        <v/>
      </c>
      <c r="K670" t="str">
        <v/>
      </c>
    </row>
    <row r="671" spans="10:11" x14ac:dyDescent="0.35">
      <c r="J671" t="str">
        <v/>
      </c>
      <c r="K671" t="str">
        <v/>
      </c>
    </row>
    <row r="672" spans="10:11" x14ac:dyDescent="0.35">
      <c r="J672" t="str">
        <v/>
      </c>
      <c r="K672" t="str">
        <v/>
      </c>
    </row>
    <row r="673" spans="10:11" x14ac:dyDescent="0.35">
      <c r="J673" t="str">
        <v/>
      </c>
      <c r="K673" t="str">
        <v/>
      </c>
    </row>
    <row r="674" spans="10:11" x14ac:dyDescent="0.35">
      <c r="J674" t="str">
        <v/>
      </c>
      <c r="K674" t="str">
        <v/>
      </c>
    </row>
    <row r="675" spans="10:11" x14ac:dyDescent="0.35">
      <c r="J675" t="str">
        <v/>
      </c>
      <c r="K675" t="str">
        <v/>
      </c>
    </row>
    <row r="676" spans="10:11" x14ac:dyDescent="0.35">
      <c r="J676" t="str">
        <v/>
      </c>
      <c r="K676" t="str">
        <v/>
      </c>
    </row>
    <row r="677" spans="10:11" x14ac:dyDescent="0.35">
      <c r="J677" t="str">
        <v/>
      </c>
      <c r="K677" t="str">
        <v/>
      </c>
    </row>
    <row r="678" spans="10:11" x14ac:dyDescent="0.35">
      <c r="J678" t="str">
        <v/>
      </c>
      <c r="K678" t="str">
        <v/>
      </c>
    </row>
    <row r="679" spans="10:11" x14ac:dyDescent="0.35">
      <c r="J679" t="str">
        <v/>
      </c>
      <c r="K679" t="str">
        <v/>
      </c>
    </row>
    <row r="680" spans="10:11" x14ac:dyDescent="0.35">
      <c r="J680" t="str">
        <v/>
      </c>
      <c r="K680" t="str">
        <v/>
      </c>
    </row>
    <row r="681" spans="10:11" x14ac:dyDescent="0.35">
      <c r="J681" t="str">
        <v/>
      </c>
      <c r="K681" t="str">
        <v/>
      </c>
    </row>
    <row r="682" spans="10:11" x14ac:dyDescent="0.35">
      <c r="J682" t="str">
        <v/>
      </c>
      <c r="K682" t="str">
        <v/>
      </c>
    </row>
    <row r="683" spans="10:11" x14ac:dyDescent="0.35">
      <c r="J683" t="str">
        <v/>
      </c>
      <c r="K683" t="str">
        <v/>
      </c>
    </row>
    <row r="684" spans="10:11" x14ac:dyDescent="0.35">
      <c r="J684" t="str">
        <v/>
      </c>
      <c r="K684" t="str">
        <v/>
      </c>
    </row>
    <row r="685" spans="10:11" x14ac:dyDescent="0.35">
      <c r="J685" t="str">
        <v/>
      </c>
      <c r="K685" t="str">
        <v/>
      </c>
    </row>
    <row r="686" spans="10:11" x14ac:dyDescent="0.35">
      <c r="J686" t="str">
        <v/>
      </c>
      <c r="K686" t="str">
        <v/>
      </c>
    </row>
    <row r="687" spans="10:11" x14ac:dyDescent="0.35">
      <c r="J687" t="str">
        <v/>
      </c>
      <c r="K687" t="str">
        <v/>
      </c>
    </row>
    <row r="688" spans="10:11" x14ac:dyDescent="0.35">
      <c r="J688" t="str">
        <v/>
      </c>
      <c r="K688" t="str">
        <v/>
      </c>
    </row>
    <row r="689" spans="10:11" x14ac:dyDescent="0.35">
      <c r="J689" t="str">
        <v/>
      </c>
      <c r="K689" t="str">
        <v/>
      </c>
    </row>
    <row r="690" spans="10:11" x14ac:dyDescent="0.35">
      <c r="J690" t="str">
        <v/>
      </c>
      <c r="K690" t="str">
        <v/>
      </c>
    </row>
    <row r="691" spans="10:11" x14ac:dyDescent="0.35">
      <c r="J691" t="str">
        <v/>
      </c>
      <c r="K691" t="str">
        <v/>
      </c>
    </row>
    <row r="692" spans="10:11" x14ac:dyDescent="0.35">
      <c r="J692" t="str">
        <v/>
      </c>
      <c r="K692" t="str">
        <v/>
      </c>
    </row>
    <row r="693" spans="10:11" x14ac:dyDescent="0.35">
      <c r="J693" t="str">
        <v/>
      </c>
      <c r="K693" t="str">
        <v/>
      </c>
    </row>
    <row r="694" spans="10:11" x14ac:dyDescent="0.35">
      <c r="J694" t="str">
        <v/>
      </c>
      <c r="K694" t="str">
        <v/>
      </c>
    </row>
    <row r="695" spans="10:11" x14ac:dyDescent="0.35">
      <c r="J695" t="str">
        <v/>
      </c>
      <c r="K695" t="str">
        <v/>
      </c>
    </row>
    <row r="696" spans="10:11" x14ac:dyDescent="0.35">
      <c r="J696" t="str">
        <v/>
      </c>
      <c r="K696" t="str">
        <v/>
      </c>
    </row>
    <row r="697" spans="10:11" x14ac:dyDescent="0.35">
      <c r="J697" t="str">
        <v/>
      </c>
      <c r="K697" t="str">
        <v/>
      </c>
    </row>
    <row r="698" spans="10:11" x14ac:dyDescent="0.35">
      <c r="J698" t="str">
        <v/>
      </c>
      <c r="K698" t="str">
        <v/>
      </c>
    </row>
    <row r="699" spans="10:11" x14ac:dyDescent="0.35">
      <c r="J699" t="str">
        <v/>
      </c>
      <c r="K699" t="str">
        <v/>
      </c>
    </row>
    <row r="700" spans="10:11" x14ac:dyDescent="0.35">
      <c r="J700" t="str">
        <v/>
      </c>
      <c r="K700" t="str">
        <v/>
      </c>
    </row>
    <row r="701" spans="10:11" x14ac:dyDescent="0.35">
      <c r="J701" t="str">
        <v/>
      </c>
      <c r="K701" t="str">
        <v/>
      </c>
    </row>
    <row r="702" spans="10:11" x14ac:dyDescent="0.35">
      <c r="J702" t="str">
        <v/>
      </c>
      <c r="K702" t="str">
        <v/>
      </c>
    </row>
    <row r="703" spans="10:11" x14ac:dyDescent="0.35">
      <c r="J703" t="str">
        <v/>
      </c>
      <c r="K703" t="str">
        <v/>
      </c>
    </row>
    <row r="704" spans="10:11" x14ac:dyDescent="0.35">
      <c r="J704" t="str">
        <v/>
      </c>
      <c r="K704" t="str">
        <v/>
      </c>
    </row>
    <row r="705" spans="10:11" x14ac:dyDescent="0.35">
      <c r="J705" t="str">
        <v/>
      </c>
      <c r="K705" t="str">
        <v/>
      </c>
    </row>
    <row r="706" spans="10:11" x14ac:dyDescent="0.35">
      <c r="J706" t="str">
        <v/>
      </c>
      <c r="K706" t="str">
        <v/>
      </c>
    </row>
    <row r="707" spans="10:11" x14ac:dyDescent="0.35">
      <c r="J707" t="str">
        <v/>
      </c>
      <c r="K707" t="str">
        <v/>
      </c>
    </row>
    <row r="708" spans="10:11" x14ac:dyDescent="0.35">
      <c r="J708" t="str">
        <v/>
      </c>
      <c r="K708" t="str">
        <v/>
      </c>
    </row>
    <row r="709" spans="10:11" x14ac:dyDescent="0.35">
      <c r="J709" t="str">
        <v/>
      </c>
      <c r="K709" t="str">
        <v/>
      </c>
    </row>
    <row r="710" spans="10:11" x14ac:dyDescent="0.35">
      <c r="J710" t="str">
        <v/>
      </c>
      <c r="K710" t="str">
        <v/>
      </c>
    </row>
    <row r="711" spans="10:11" x14ac:dyDescent="0.35">
      <c r="J711" t="str">
        <v/>
      </c>
      <c r="K711" t="str">
        <v/>
      </c>
    </row>
    <row r="712" spans="10:11" x14ac:dyDescent="0.35">
      <c r="J712" t="str">
        <v/>
      </c>
      <c r="K712" t="str">
        <v/>
      </c>
    </row>
    <row r="713" spans="10:11" x14ac:dyDescent="0.35">
      <c r="J713" t="str">
        <v/>
      </c>
      <c r="K713" t="str">
        <v/>
      </c>
    </row>
    <row r="714" spans="10:11" x14ac:dyDescent="0.35">
      <c r="J714" t="str">
        <v/>
      </c>
      <c r="K714" t="str">
        <v/>
      </c>
    </row>
    <row r="715" spans="10:11" x14ac:dyDescent="0.35">
      <c r="J715" t="str">
        <v/>
      </c>
      <c r="K715" t="str">
        <v/>
      </c>
    </row>
    <row r="716" spans="10:11" x14ac:dyDescent="0.35">
      <c r="J716" t="str">
        <v/>
      </c>
      <c r="K716" t="str">
        <v/>
      </c>
    </row>
    <row r="717" spans="10:11" x14ac:dyDescent="0.35">
      <c r="J717" t="str">
        <v/>
      </c>
      <c r="K717" t="str">
        <v/>
      </c>
    </row>
    <row r="718" spans="10:11" x14ac:dyDescent="0.35">
      <c r="J718" t="str">
        <v/>
      </c>
      <c r="K718" t="str">
        <v/>
      </c>
    </row>
    <row r="719" spans="10:11" x14ac:dyDescent="0.35">
      <c r="J719" t="str">
        <v/>
      </c>
      <c r="K719" t="str">
        <v/>
      </c>
    </row>
    <row r="720" spans="10:11" x14ac:dyDescent="0.35">
      <c r="J720" t="str">
        <v/>
      </c>
      <c r="K720" t="str">
        <v/>
      </c>
    </row>
    <row r="721" spans="10:11" x14ac:dyDescent="0.35">
      <c r="J721" t="str">
        <v/>
      </c>
      <c r="K721" t="str">
        <v/>
      </c>
    </row>
    <row r="722" spans="10:11" x14ac:dyDescent="0.35">
      <c r="J722" t="str">
        <v/>
      </c>
      <c r="K722" t="str">
        <v/>
      </c>
    </row>
    <row r="723" spans="10:11" x14ac:dyDescent="0.35">
      <c r="J723" t="str">
        <v/>
      </c>
      <c r="K723" t="str">
        <v/>
      </c>
    </row>
    <row r="724" spans="10:11" x14ac:dyDescent="0.35">
      <c r="J724" t="str">
        <v/>
      </c>
      <c r="K724" t="str">
        <v/>
      </c>
    </row>
    <row r="725" spans="10:11" x14ac:dyDescent="0.35">
      <c r="J725" t="str">
        <v/>
      </c>
      <c r="K725" t="str">
        <v/>
      </c>
    </row>
    <row r="726" spans="10:11" x14ac:dyDescent="0.35">
      <c r="J726" t="str">
        <v/>
      </c>
      <c r="K726" t="str">
        <v/>
      </c>
    </row>
    <row r="727" spans="10:11" x14ac:dyDescent="0.35">
      <c r="J727" t="str">
        <v/>
      </c>
      <c r="K727" t="str">
        <v/>
      </c>
    </row>
    <row r="728" spans="10:11" x14ac:dyDescent="0.35">
      <c r="J728" t="str">
        <v/>
      </c>
      <c r="K728" t="str">
        <v/>
      </c>
    </row>
    <row r="729" spans="10:11" x14ac:dyDescent="0.35">
      <c r="J729" t="str">
        <v/>
      </c>
      <c r="K729" t="str">
        <v/>
      </c>
    </row>
    <row r="730" spans="10:11" x14ac:dyDescent="0.35">
      <c r="J730" t="str">
        <v/>
      </c>
      <c r="K730" t="str">
        <v/>
      </c>
    </row>
    <row r="731" spans="10:11" x14ac:dyDescent="0.35">
      <c r="J731" t="str">
        <v/>
      </c>
      <c r="K731" t="str">
        <v/>
      </c>
    </row>
    <row r="732" spans="10:11" x14ac:dyDescent="0.35">
      <c r="J732" t="str">
        <v/>
      </c>
      <c r="K732" t="str">
        <v/>
      </c>
    </row>
    <row r="733" spans="10:11" x14ac:dyDescent="0.35">
      <c r="J733" t="str">
        <v/>
      </c>
      <c r="K733" t="str">
        <v/>
      </c>
    </row>
    <row r="734" spans="10:11" x14ac:dyDescent="0.35">
      <c r="J734" t="str">
        <v/>
      </c>
      <c r="K734" t="str">
        <v/>
      </c>
    </row>
    <row r="735" spans="10:11" x14ac:dyDescent="0.35">
      <c r="J735" t="str">
        <v/>
      </c>
      <c r="K735" t="str">
        <v/>
      </c>
    </row>
    <row r="736" spans="10:11" x14ac:dyDescent="0.35">
      <c r="J736" t="str">
        <v/>
      </c>
      <c r="K736" t="str">
        <v/>
      </c>
    </row>
    <row r="737" spans="10:11" x14ac:dyDescent="0.35">
      <c r="J737" t="str">
        <v/>
      </c>
      <c r="K737" t="str">
        <v/>
      </c>
    </row>
    <row r="738" spans="10:11" x14ac:dyDescent="0.35">
      <c r="J738" t="str">
        <v/>
      </c>
      <c r="K738" t="str">
        <v/>
      </c>
    </row>
    <row r="739" spans="10:11" x14ac:dyDescent="0.35">
      <c r="J739" t="str">
        <v/>
      </c>
      <c r="K739" t="str">
        <v/>
      </c>
    </row>
    <row r="740" spans="10:11" x14ac:dyDescent="0.35">
      <c r="J740" t="str">
        <v/>
      </c>
      <c r="K740" t="str">
        <v/>
      </c>
    </row>
    <row r="741" spans="10:11" x14ac:dyDescent="0.35">
      <c r="J741" t="str">
        <v/>
      </c>
      <c r="K741" t="str">
        <v/>
      </c>
    </row>
    <row r="742" spans="10:11" x14ac:dyDescent="0.35">
      <c r="J742" t="str">
        <v/>
      </c>
      <c r="K742" t="str">
        <v/>
      </c>
    </row>
    <row r="743" spans="10:11" x14ac:dyDescent="0.35">
      <c r="J743" t="str">
        <v/>
      </c>
      <c r="K743" t="str">
        <v/>
      </c>
    </row>
    <row r="744" spans="10:11" x14ac:dyDescent="0.35">
      <c r="J744" t="str">
        <v/>
      </c>
      <c r="K744" t="str">
        <v/>
      </c>
    </row>
    <row r="745" spans="10:11" x14ac:dyDescent="0.35">
      <c r="J745" t="str">
        <v/>
      </c>
      <c r="K745" t="str">
        <v/>
      </c>
    </row>
    <row r="746" spans="10:11" x14ac:dyDescent="0.35">
      <c r="J746" t="str">
        <v/>
      </c>
      <c r="K746" t="str">
        <v/>
      </c>
    </row>
    <row r="747" spans="10:11" x14ac:dyDescent="0.35">
      <c r="J747" t="str">
        <v/>
      </c>
      <c r="K747" t="str">
        <v/>
      </c>
    </row>
    <row r="748" spans="10:11" x14ac:dyDescent="0.35">
      <c r="J748" t="str">
        <v/>
      </c>
      <c r="K748" t="str">
        <v/>
      </c>
    </row>
    <row r="749" spans="10:11" x14ac:dyDescent="0.35">
      <c r="J749" t="str">
        <v/>
      </c>
      <c r="K749" t="str">
        <v/>
      </c>
    </row>
    <row r="750" spans="10:11" x14ac:dyDescent="0.35">
      <c r="J750" t="str">
        <v/>
      </c>
      <c r="K750" t="str">
        <v/>
      </c>
    </row>
    <row r="751" spans="10:11" x14ac:dyDescent="0.35">
      <c r="J751" t="str">
        <v/>
      </c>
      <c r="K751" t="str">
        <v/>
      </c>
    </row>
    <row r="752" spans="10:11" x14ac:dyDescent="0.35">
      <c r="J752" t="str">
        <v/>
      </c>
      <c r="K752" t="str">
        <v/>
      </c>
    </row>
    <row r="753" spans="10:11" x14ac:dyDescent="0.35">
      <c r="J753" t="str">
        <v/>
      </c>
      <c r="K753" t="str">
        <v/>
      </c>
    </row>
    <row r="754" spans="10:11" x14ac:dyDescent="0.35">
      <c r="J754" t="str">
        <v/>
      </c>
      <c r="K754" t="str">
        <v/>
      </c>
    </row>
    <row r="755" spans="10:11" x14ac:dyDescent="0.35">
      <c r="J755" t="str">
        <v/>
      </c>
      <c r="K755" t="str">
        <v/>
      </c>
    </row>
    <row r="756" spans="10:11" x14ac:dyDescent="0.35">
      <c r="J756" t="str">
        <v/>
      </c>
      <c r="K756" t="str">
        <v/>
      </c>
    </row>
    <row r="757" spans="10:11" x14ac:dyDescent="0.35">
      <c r="J757" t="str">
        <v/>
      </c>
      <c r="K757" t="str">
        <v/>
      </c>
    </row>
    <row r="758" spans="10:11" x14ac:dyDescent="0.35">
      <c r="J758" t="str">
        <v/>
      </c>
      <c r="K758" t="str">
        <v/>
      </c>
    </row>
    <row r="759" spans="10:11" x14ac:dyDescent="0.35">
      <c r="J759" t="str">
        <v/>
      </c>
      <c r="K759" t="str">
        <v/>
      </c>
    </row>
    <row r="760" spans="10:11" x14ac:dyDescent="0.35">
      <c r="J760" t="str">
        <v/>
      </c>
      <c r="K760" t="str">
        <v/>
      </c>
    </row>
    <row r="761" spans="10:11" x14ac:dyDescent="0.35">
      <c r="J761" t="str">
        <v/>
      </c>
      <c r="K761" t="str">
        <v/>
      </c>
    </row>
    <row r="762" spans="10:11" x14ac:dyDescent="0.35">
      <c r="J762" t="str">
        <v/>
      </c>
      <c r="K762" t="str">
        <v/>
      </c>
    </row>
    <row r="763" spans="10:11" x14ac:dyDescent="0.35">
      <c r="J763" t="str">
        <v/>
      </c>
      <c r="K763" t="str">
        <v/>
      </c>
    </row>
    <row r="764" spans="10:11" x14ac:dyDescent="0.35">
      <c r="J764" t="str">
        <v/>
      </c>
      <c r="K764" t="str">
        <v/>
      </c>
    </row>
    <row r="765" spans="10:11" x14ac:dyDescent="0.35">
      <c r="J765" t="str">
        <v/>
      </c>
      <c r="K765" t="str">
        <v/>
      </c>
    </row>
    <row r="766" spans="10:11" x14ac:dyDescent="0.35">
      <c r="J766" t="str">
        <v/>
      </c>
      <c r="K766" t="str">
        <v/>
      </c>
    </row>
    <row r="767" spans="10:11" x14ac:dyDescent="0.35">
      <c r="J767" t="str">
        <v/>
      </c>
      <c r="K767" t="str">
        <v/>
      </c>
    </row>
    <row r="768" spans="10:11" x14ac:dyDescent="0.35">
      <c r="J768" t="str">
        <v/>
      </c>
      <c r="K768" t="str">
        <v/>
      </c>
    </row>
    <row r="769" spans="10:11" x14ac:dyDescent="0.35">
      <c r="J769" t="str">
        <v/>
      </c>
      <c r="K769" t="str">
        <v/>
      </c>
    </row>
    <row r="770" spans="10:11" x14ac:dyDescent="0.35">
      <c r="J770" t="str">
        <v/>
      </c>
      <c r="K770" t="str">
        <v/>
      </c>
    </row>
    <row r="771" spans="10:11" x14ac:dyDescent="0.35">
      <c r="J771" t="str">
        <v/>
      </c>
      <c r="K771" t="str">
        <v/>
      </c>
    </row>
    <row r="772" spans="10:11" x14ac:dyDescent="0.35">
      <c r="J772" t="str">
        <v/>
      </c>
      <c r="K772" t="str">
        <v/>
      </c>
    </row>
    <row r="773" spans="10:11" x14ac:dyDescent="0.35">
      <c r="J773" t="str">
        <v/>
      </c>
      <c r="K773" t="str">
        <v/>
      </c>
    </row>
    <row r="774" spans="10:11" x14ac:dyDescent="0.35">
      <c r="J774" t="str">
        <v/>
      </c>
      <c r="K774" t="str">
        <v/>
      </c>
    </row>
    <row r="775" spans="10:11" x14ac:dyDescent="0.35">
      <c r="J775" t="str">
        <v/>
      </c>
      <c r="K775" t="str">
        <v/>
      </c>
    </row>
    <row r="776" spans="10:11" x14ac:dyDescent="0.35">
      <c r="J776" t="str">
        <v/>
      </c>
      <c r="K776" t="str">
        <v/>
      </c>
    </row>
    <row r="777" spans="10:11" x14ac:dyDescent="0.35">
      <c r="J777" t="str">
        <v/>
      </c>
      <c r="K777" t="str">
        <v/>
      </c>
    </row>
    <row r="778" spans="10:11" x14ac:dyDescent="0.35">
      <c r="J778" t="str">
        <v/>
      </c>
      <c r="K778" t="str">
        <v/>
      </c>
    </row>
    <row r="779" spans="10:11" x14ac:dyDescent="0.35">
      <c r="J779" t="str">
        <v/>
      </c>
      <c r="K779" t="str">
        <v/>
      </c>
    </row>
    <row r="780" spans="10:11" x14ac:dyDescent="0.35">
      <c r="J780" t="str">
        <v/>
      </c>
      <c r="K780" t="str">
        <v/>
      </c>
    </row>
    <row r="781" spans="10:11" x14ac:dyDescent="0.35">
      <c r="J781" t="str">
        <v/>
      </c>
      <c r="K781" t="str">
        <v/>
      </c>
    </row>
    <row r="782" spans="10:11" x14ac:dyDescent="0.35">
      <c r="J782" t="str">
        <v/>
      </c>
      <c r="K782" t="str">
        <v/>
      </c>
    </row>
    <row r="783" spans="10:11" x14ac:dyDescent="0.35">
      <c r="J783" t="str">
        <v/>
      </c>
      <c r="K783" t="str">
        <v/>
      </c>
    </row>
    <row r="784" spans="10:11" x14ac:dyDescent="0.35">
      <c r="J784" t="str">
        <v/>
      </c>
      <c r="K784" t="str">
        <v/>
      </c>
    </row>
    <row r="785" spans="10:11" x14ac:dyDescent="0.35">
      <c r="J785" t="str">
        <v/>
      </c>
      <c r="K785" t="str">
        <v/>
      </c>
    </row>
    <row r="786" spans="10:11" x14ac:dyDescent="0.35">
      <c r="J786" t="str">
        <v/>
      </c>
      <c r="K786" t="str">
        <v/>
      </c>
    </row>
    <row r="787" spans="10:11" x14ac:dyDescent="0.35">
      <c r="J787" t="str">
        <v/>
      </c>
      <c r="K787" t="str">
        <v/>
      </c>
    </row>
    <row r="788" spans="10:11" x14ac:dyDescent="0.35">
      <c r="J788" t="str">
        <v/>
      </c>
      <c r="K788" t="str">
        <v/>
      </c>
    </row>
    <row r="789" spans="10:11" x14ac:dyDescent="0.35">
      <c r="J789" t="str">
        <v/>
      </c>
      <c r="K789" t="str">
        <v/>
      </c>
    </row>
    <row r="790" spans="10:11" x14ac:dyDescent="0.35">
      <c r="J790" t="str">
        <v/>
      </c>
      <c r="K790" t="str">
        <v/>
      </c>
    </row>
    <row r="791" spans="10:11" x14ac:dyDescent="0.35">
      <c r="J791" t="str">
        <v/>
      </c>
      <c r="K791" t="str">
        <v/>
      </c>
    </row>
    <row r="792" spans="10:11" x14ac:dyDescent="0.35">
      <c r="J792" t="str">
        <v/>
      </c>
      <c r="K792" t="str">
        <v/>
      </c>
    </row>
    <row r="793" spans="10:11" x14ac:dyDescent="0.35">
      <c r="J793" t="str">
        <v/>
      </c>
      <c r="K793" t="str">
        <v/>
      </c>
    </row>
    <row r="794" spans="10:11" x14ac:dyDescent="0.35">
      <c r="J794" t="str">
        <v/>
      </c>
      <c r="K794" t="str">
        <v/>
      </c>
    </row>
    <row r="795" spans="10:11" x14ac:dyDescent="0.35">
      <c r="J795" t="str">
        <v/>
      </c>
      <c r="K795" t="str">
        <v/>
      </c>
    </row>
    <row r="796" spans="10:11" x14ac:dyDescent="0.35">
      <c r="J796" t="str">
        <v/>
      </c>
      <c r="K796" t="str">
        <v/>
      </c>
    </row>
    <row r="797" spans="10:11" x14ac:dyDescent="0.35">
      <c r="J797" t="str">
        <v/>
      </c>
      <c r="K797" t="str">
        <v/>
      </c>
    </row>
    <row r="798" spans="10:11" x14ac:dyDescent="0.35">
      <c r="J798" t="str">
        <v/>
      </c>
      <c r="K798" t="str">
        <v/>
      </c>
    </row>
    <row r="799" spans="10:11" x14ac:dyDescent="0.35">
      <c r="J799" t="str">
        <v/>
      </c>
      <c r="K799" t="str">
        <v/>
      </c>
    </row>
    <row r="800" spans="10:11" x14ac:dyDescent="0.35">
      <c r="J800" t="str">
        <v/>
      </c>
      <c r="K800" t="str">
        <v/>
      </c>
    </row>
    <row r="801" spans="10:11" x14ac:dyDescent="0.35">
      <c r="J801" t="str">
        <v/>
      </c>
      <c r="K801" t="str">
        <v/>
      </c>
    </row>
    <row r="802" spans="10:11" x14ac:dyDescent="0.35">
      <c r="J802" t="str">
        <v/>
      </c>
      <c r="K802" t="str">
        <v/>
      </c>
    </row>
    <row r="803" spans="10:11" x14ac:dyDescent="0.35">
      <c r="J803" t="str">
        <v/>
      </c>
      <c r="K803" t="str">
        <v/>
      </c>
    </row>
    <row r="804" spans="10:11" x14ac:dyDescent="0.35">
      <c r="J804" t="str">
        <v/>
      </c>
      <c r="K804" t="str">
        <v/>
      </c>
    </row>
    <row r="805" spans="10:11" x14ac:dyDescent="0.35">
      <c r="J805" t="str">
        <v/>
      </c>
      <c r="K805" t="str">
        <v/>
      </c>
    </row>
    <row r="806" spans="10:11" x14ac:dyDescent="0.35">
      <c r="J806" t="str">
        <v/>
      </c>
      <c r="K806" t="str">
        <v/>
      </c>
    </row>
    <row r="807" spans="10:11" x14ac:dyDescent="0.35">
      <c r="J807" t="str">
        <v/>
      </c>
      <c r="K807" t="str">
        <v/>
      </c>
    </row>
    <row r="808" spans="10:11" x14ac:dyDescent="0.35">
      <c r="J808" t="str">
        <v/>
      </c>
      <c r="K808" t="str">
        <v/>
      </c>
    </row>
    <row r="809" spans="10:11" x14ac:dyDescent="0.35">
      <c r="J809" t="str">
        <v/>
      </c>
      <c r="K809" t="str">
        <v/>
      </c>
    </row>
    <row r="810" spans="10:11" x14ac:dyDescent="0.35">
      <c r="J810" t="str">
        <v/>
      </c>
      <c r="K810" t="str">
        <v/>
      </c>
    </row>
    <row r="811" spans="10:11" x14ac:dyDescent="0.35">
      <c r="J811" t="str">
        <v/>
      </c>
      <c r="K811" t="str">
        <v/>
      </c>
    </row>
    <row r="812" spans="10:11" x14ac:dyDescent="0.35">
      <c r="J812" t="str">
        <v/>
      </c>
      <c r="K812" t="str">
        <v/>
      </c>
    </row>
    <row r="813" spans="10:11" x14ac:dyDescent="0.35">
      <c r="J813" t="str">
        <v/>
      </c>
      <c r="K813" t="str">
        <v/>
      </c>
    </row>
    <row r="814" spans="10:11" x14ac:dyDescent="0.35">
      <c r="J814" t="str">
        <v/>
      </c>
      <c r="K814" t="str">
        <v/>
      </c>
    </row>
    <row r="815" spans="10:11" x14ac:dyDescent="0.35">
      <c r="J815" t="str">
        <v/>
      </c>
      <c r="K815" t="str">
        <v/>
      </c>
    </row>
    <row r="816" spans="10:11" x14ac:dyDescent="0.35">
      <c r="J816" t="str">
        <v/>
      </c>
      <c r="K816" t="str">
        <v/>
      </c>
    </row>
    <row r="817" spans="10:11" x14ac:dyDescent="0.35">
      <c r="J817" t="str">
        <v/>
      </c>
      <c r="K817" t="str">
        <v/>
      </c>
    </row>
    <row r="818" spans="10:11" x14ac:dyDescent="0.35">
      <c r="J818" t="str">
        <v/>
      </c>
      <c r="K818" t="str">
        <v/>
      </c>
    </row>
    <row r="819" spans="10:11" x14ac:dyDescent="0.35">
      <c r="J819" t="str">
        <v/>
      </c>
      <c r="K819" t="str">
        <v/>
      </c>
    </row>
    <row r="820" spans="10:11" x14ac:dyDescent="0.35">
      <c r="J820" t="str">
        <v/>
      </c>
      <c r="K820" t="str">
        <v/>
      </c>
    </row>
    <row r="821" spans="10:11" x14ac:dyDescent="0.35">
      <c r="J821" t="str">
        <v/>
      </c>
      <c r="K821" t="str">
        <v/>
      </c>
    </row>
    <row r="822" spans="10:11" x14ac:dyDescent="0.35">
      <c r="J822" t="str">
        <v/>
      </c>
      <c r="K822" t="str">
        <v/>
      </c>
    </row>
    <row r="823" spans="10:11" x14ac:dyDescent="0.35">
      <c r="J823" t="str">
        <v/>
      </c>
      <c r="K823" t="str">
        <v/>
      </c>
    </row>
    <row r="824" spans="10:11" x14ac:dyDescent="0.35">
      <c r="J824" t="str">
        <v/>
      </c>
      <c r="K824" t="str">
        <v/>
      </c>
    </row>
    <row r="825" spans="10:11" x14ac:dyDescent="0.35">
      <c r="J825" t="str">
        <v/>
      </c>
      <c r="K825" t="str">
        <v/>
      </c>
    </row>
    <row r="826" spans="10:11" x14ac:dyDescent="0.35">
      <c r="J826" t="str">
        <v/>
      </c>
      <c r="K826" t="str">
        <v/>
      </c>
    </row>
    <row r="827" spans="10:11" x14ac:dyDescent="0.35">
      <c r="J827" t="str">
        <v/>
      </c>
      <c r="K827" t="str">
        <v/>
      </c>
    </row>
    <row r="828" spans="10:11" x14ac:dyDescent="0.35">
      <c r="J828" t="str">
        <v/>
      </c>
      <c r="K828" t="str">
        <v/>
      </c>
    </row>
    <row r="829" spans="10:11" x14ac:dyDescent="0.35">
      <c r="J829" t="str">
        <v/>
      </c>
      <c r="K829" t="str">
        <v/>
      </c>
    </row>
    <row r="830" spans="10:11" x14ac:dyDescent="0.35">
      <c r="J830" t="str">
        <v/>
      </c>
      <c r="K830" t="str">
        <v/>
      </c>
    </row>
    <row r="831" spans="10:11" x14ac:dyDescent="0.35">
      <c r="J831" t="str">
        <v/>
      </c>
      <c r="K831" t="str">
        <v/>
      </c>
    </row>
    <row r="832" spans="10:11" x14ac:dyDescent="0.35">
      <c r="J832" t="str">
        <v/>
      </c>
      <c r="K832" t="str">
        <v/>
      </c>
    </row>
    <row r="833" spans="10:11" x14ac:dyDescent="0.35">
      <c r="J833" t="str">
        <v/>
      </c>
      <c r="K833" t="str">
        <v/>
      </c>
    </row>
    <row r="834" spans="10:11" x14ac:dyDescent="0.35">
      <c r="J834" t="str">
        <v/>
      </c>
      <c r="K834" t="str">
        <v/>
      </c>
    </row>
    <row r="835" spans="10:11" x14ac:dyDescent="0.35">
      <c r="J835" t="str">
        <v/>
      </c>
      <c r="K835" t="str">
        <v/>
      </c>
    </row>
    <row r="836" spans="10:11" x14ac:dyDescent="0.35">
      <c r="J836" t="str">
        <v/>
      </c>
      <c r="K836" t="str">
        <v/>
      </c>
    </row>
    <row r="837" spans="10:11" x14ac:dyDescent="0.35">
      <c r="J837" t="str">
        <v/>
      </c>
      <c r="K837" t="str">
        <v/>
      </c>
    </row>
    <row r="838" spans="10:11" x14ac:dyDescent="0.35">
      <c r="J838" t="str">
        <v/>
      </c>
      <c r="K838" t="str">
        <v/>
      </c>
    </row>
    <row r="839" spans="10:11" x14ac:dyDescent="0.35">
      <c r="J839" t="str">
        <v/>
      </c>
      <c r="K839" t="str">
        <v/>
      </c>
    </row>
    <row r="840" spans="10:11" x14ac:dyDescent="0.35">
      <c r="J840" t="str">
        <v/>
      </c>
      <c r="K840" t="str">
        <v/>
      </c>
    </row>
    <row r="841" spans="10:11" x14ac:dyDescent="0.35">
      <c r="J841" t="str">
        <v/>
      </c>
      <c r="K841" t="str">
        <v/>
      </c>
    </row>
    <row r="842" spans="10:11" x14ac:dyDescent="0.35">
      <c r="J842" t="str">
        <v/>
      </c>
      <c r="K842" t="str">
        <v/>
      </c>
    </row>
    <row r="843" spans="10:11" x14ac:dyDescent="0.35">
      <c r="J843" t="str">
        <v/>
      </c>
      <c r="K843" t="str">
        <v/>
      </c>
    </row>
    <row r="844" spans="10:11" x14ac:dyDescent="0.35">
      <c r="J844" t="str">
        <v/>
      </c>
      <c r="K844" t="str">
        <v/>
      </c>
    </row>
    <row r="845" spans="10:11" x14ac:dyDescent="0.35">
      <c r="J845" t="str">
        <v/>
      </c>
      <c r="K845" t="str">
        <v/>
      </c>
    </row>
    <row r="846" spans="10:11" x14ac:dyDescent="0.35">
      <c r="J846" t="str">
        <v/>
      </c>
      <c r="K846" t="str">
        <v/>
      </c>
    </row>
    <row r="847" spans="10:11" x14ac:dyDescent="0.35">
      <c r="J847" t="str">
        <v/>
      </c>
      <c r="K847" t="str">
        <v/>
      </c>
    </row>
    <row r="848" spans="10:11" x14ac:dyDescent="0.35">
      <c r="J848" t="str">
        <v/>
      </c>
      <c r="K848" t="str">
        <v/>
      </c>
    </row>
    <row r="849" spans="10:11" x14ac:dyDescent="0.35">
      <c r="J849" t="str">
        <v/>
      </c>
      <c r="K849" t="str">
        <v/>
      </c>
    </row>
    <row r="850" spans="10:11" x14ac:dyDescent="0.35">
      <c r="J850" t="str">
        <v/>
      </c>
      <c r="K850" t="str">
        <v/>
      </c>
    </row>
    <row r="851" spans="10:11" x14ac:dyDescent="0.35">
      <c r="J851" t="str">
        <v/>
      </c>
      <c r="K851" t="str">
        <v/>
      </c>
    </row>
    <row r="852" spans="10:11" x14ac:dyDescent="0.35">
      <c r="J852" t="str">
        <v/>
      </c>
      <c r="K852" t="str">
        <v/>
      </c>
    </row>
    <row r="853" spans="10:11" x14ac:dyDescent="0.35">
      <c r="J853" t="str">
        <v/>
      </c>
      <c r="K853" t="str">
        <v/>
      </c>
    </row>
    <row r="854" spans="10:11" x14ac:dyDescent="0.35">
      <c r="J854" t="str">
        <v/>
      </c>
      <c r="K854" t="str">
        <v/>
      </c>
    </row>
    <row r="855" spans="10:11" x14ac:dyDescent="0.35">
      <c r="J855" t="str">
        <v/>
      </c>
      <c r="K855" t="str">
        <v/>
      </c>
    </row>
    <row r="856" spans="10:11" x14ac:dyDescent="0.35">
      <c r="J856" t="str">
        <v/>
      </c>
      <c r="K856" t="str">
        <v/>
      </c>
    </row>
    <row r="857" spans="10:11" x14ac:dyDescent="0.35">
      <c r="J857" t="str">
        <v/>
      </c>
      <c r="K857" t="str">
        <v/>
      </c>
    </row>
    <row r="858" spans="10:11" x14ac:dyDescent="0.35">
      <c r="J858" t="str">
        <v/>
      </c>
      <c r="K858" t="str">
        <v/>
      </c>
    </row>
    <row r="859" spans="10:11" x14ac:dyDescent="0.35">
      <c r="J859" t="str">
        <v/>
      </c>
      <c r="K859" t="str">
        <v/>
      </c>
    </row>
    <row r="860" spans="10:11" x14ac:dyDescent="0.35">
      <c r="J860" t="str">
        <v/>
      </c>
      <c r="K860" t="str">
        <v/>
      </c>
    </row>
    <row r="861" spans="10:11" x14ac:dyDescent="0.35">
      <c r="J861" t="str">
        <v/>
      </c>
      <c r="K861" t="str">
        <v/>
      </c>
    </row>
    <row r="862" spans="10:11" x14ac:dyDescent="0.35">
      <c r="J862" t="str">
        <v/>
      </c>
      <c r="K862" t="str">
        <v/>
      </c>
    </row>
    <row r="863" spans="10:11" x14ac:dyDescent="0.35">
      <c r="J863" t="str">
        <v/>
      </c>
      <c r="K863" t="str">
        <v/>
      </c>
    </row>
    <row r="864" spans="10:11" x14ac:dyDescent="0.35">
      <c r="J864" t="str">
        <v/>
      </c>
      <c r="K864" t="str">
        <v/>
      </c>
    </row>
    <row r="865" spans="10:11" x14ac:dyDescent="0.35">
      <c r="J865" t="str">
        <v/>
      </c>
      <c r="K865" t="str">
        <v/>
      </c>
    </row>
    <row r="866" spans="10:11" x14ac:dyDescent="0.35">
      <c r="J866" t="str">
        <v/>
      </c>
      <c r="K866" t="str">
        <v/>
      </c>
    </row>
    <row r="867" spans="10:11" x14ac:dyDescent="0.35">
      <c r="J867" t="str">
        <v/>
      </c>
      <c r="K867" t="str">
        <v/>
      </c>
    </row>
    <row r="868" spans="10:11" x14ac:dyDescent="0.35">
      <c r="J868" t="str">
        <v/>
      </c>
      <c r="K868" t="str">
        <v/>
      </c>
    </row>
    <row r="869" spans="10:11" x14ac:dyDescent="0.35">
      <c r="J869" t="str">
        <v/>
      </c>
      <c r="K869" t="str">
        <v/>
      </c>
    </row>
    <row r="870" spans="10:11" x14ac:dyDescent="0.35">
      <c r="J870" t="str">
        <v/>
      </c>
      <c r="K870" t="str">
        <v/>
      </c>
    </row>
    <row r="871" spans="10:11" x14ac:dyDescent="0.35">
      <c r="J871" t="str">
        <v/>
      </c>
      <c r="K871" t="str">
        <v/>
      </c>
    </row>
    <row r="872" spans="10:11" x14ac:dyDescent="0.35">
      <c r="J872" t="str">
        <v/>
      </c>
      <c r="K872" t="str">
        <v/>
      </c>
    </row>
    <row r="873" spans="10:11" x14ac:dyDescent="0.35">
      <c r="J873" t="str">
        <v/>
      </c>
      <c r="K873" t="str">
        <v/>
      </c>
    </row>
    <row r="874" spans="10:11" x14ac:dyDescent="0.35">
      <c r="J874" t="str">
        <v/>
      </c>
      <c r="K874" t="str">
        <v/>
      </c>
    </row>
    <row r="875" spans="10:11" x14ac:dyDescent="0.35">
      <c r="J875" t="str">
        <v/>
      </c>
      <c r="K875" t="str">
        <v/>
      </c>
    </row>
    <row r="876" spans="10:11" x14ac:dyDescent="0.35">
      <c r="J876" t="str">
        <v/>
      </c>
      <c r="K876" t="str">
        <v/>
      </c>
    </row>
    <row r="877" spans="10:11" x14ac:dyDescent="0.35">
      <c r="J877" t="str">
        <v/>
      </c>
      <c r="K877" t="str">
        <v/>
      </c>
    </row>
    <row r="878" spans="10:11" x14ac:dyDescent="0.35">
      <c r="J878" t="str">
        <v/>
      </c>
      <c r="K878" t="str">
        <v/>
      </c>
    </row>
    <row r="879" spans="10:11" x14ac:dyDescent="0.35">
      <c r="J879" t="str">
        <v/>
      </c>
      <c r="K879" t="str">
        <v/>
      </c>
    </row>
    <row r="880" spans="10:11" x14ac:dyDescent="0.35">
      <c r="J880" t="str">
        <v/>
      </c>
      <c r="K880" t="str">
        <v/>
      </c>
    </row>
    <row r="881" spans="10:11" x14ac:dyDescent="0.35">
      <c r="J881" t="str">
        <v/>
      </c>
      <c r="K881" t="str">
        <v/>
      </c>
    </row>
    <row r="882" spans="10:11" x14ac:dyDescent="0.35">
      <c r="J882" t="str">
        <v/>
      </c>
      <c r="K882" t="str">
        <v/>
      </c>
    </row>
    <row r="883" spans="10:11" x14ac:dyDescent="0.35">
      <c r="J883" t="str">
        <v/>
      </c>
      <c r="K883" t="str">
        <v/>
      </c>
    </row>
    <row r="884" spans="10:11" x14ac:dyDescent="0.35">
      <c r="J884" t="str">
        <v/>
      </c>
      <c r="K884" t="str">
        <v/>
      </c>
    </row>
    <row r="885" spans="10:11" x14ac:dyDescent="0.35">
      <c r="J885" t="str">
        <v/>
      </c>
      <c r="K885" t="str">
        <v/>
      </c>
    </row>
    <row r="886" spans="10:11" x14ac:dyDescent="0.35">
      <c r="J886" t="str">
        <v/>
      </c>
      <c r="K886" t="str">
        <v/>
      </c>
    </row>
    <row r="887" spans="10:11" x14ac:dyDescent="0.35">
      <c r="J887" t="str">
        <v/>
      </c>
      <c r="K887" t="str">
        <v/>
      </c>
    </row>
    <row r="888" spans="10:11" x14ac:dyDescent="0.35">
      <c r="J888" t="str">
        <v/>
      </c>
      <c r="K888" t="str">
        <v/>
      </c>
    </row>
    <row r="889" spans="10:11" x14ac:dyDescent="0.35">
      <c r="J889" t="str">
        <v/>
      </c>
      <c r="K889" t="str">
        <v/>
      </c>
    </row>
    <row r="890" spans="10:11" x14ac:dyDescent="0.35">
      <c r="J890" t="str">
        <v/>
      </c>
      <c r="K890" t="str">
        <v/>
      </c>
    </row>
    <row r="891" spans="10:11" x14ac:dyDescent="0.35">
      <c r="J891" t="str">
        <v/>
      </c>
      <c r="K891" t="str">
        <v/>
      </c>
    </row>
    <row r="892" spans="10:11" x14ac:dyDescent="0.35">
      <c r="J892" t="str">
        <v/>
      </c>
      <c r="K892" t="str">
        <v/>
      </c>
    </row>
    <row r="893" spans="10:11" x14ac:dyDescent="0.35">
      <c r="J893" t="str">
        <v/>
      </c>
      <c r="K893" t="str">
        <v/>
      </c>
    </row>
    <row r="894" spans="10:11" x14ac:dyDescent="0.35">
      <c r="J894" t="str">
        <v/>
      </c>
      <c r="K894" t="str">
        <v/>
      </c>
    </row>
    <row r="895" spans="10:11" x14ac:dyDescent="0.35">
      <c r="J895" t="str">
        <v/>
      </c>
      <c r="K895" t="str">
        <v/>
      </c>
    </row>
    <row r="896" spans="10:11" x14ac:dyDescent="0.35">
      <c r="J896" t="str">
        <v/>
      </c>
      <c r="K896" t="str">
        <v/>
      </c>
    </row>
    <row r="897" spans="10:11" x14ac:dyDescent="0.35">
      <c r="J897" t="str">
        <v/>
      </c>
      <c r="K897" t="str">
        <v/>
      </c>
    </row>
    <row r="898" spans="10:11" x14ac:dyDescent="0.35">
      <c r="J898" t="str">
        <v/>
      </c>
      <c r="K898" t="str">
        <v/>
      </c>
    </row>
    <row r="899" spans="10:11" x14ac:dyDescent="0.35">
      <c r="J899" t="str">
        <v/>
      </c>
      <c r="K899" t="str">
        <v/>
      </c>
    </row>
    <row r="900" spans="10:11" x14ac:dyDescent="0.35">
      <c r="J900" t="str">
        <v/>
      </c>
      <c r="K900" t="str">
        <v/>
      </c>
    </row>
    <row r="901" spans="10:11" x14ac:dyDescent="0.35">
      <c r="J901" t="str">
        <v/>
      </c>
      <c r="K901" t="str">
        <v/>
      </c>
    </row>
    <row r="902" spans="10:11" x14ac:dyDescent="0.35">
      <c r="J902" t="str">
        <v/>
      </c>
      <c r="K902" t="str">
        <v/>
      </c>
    </row>
    <row r="903" spans="10:11" x14ac:dyDescent="0.35">
      <c r="J903" t="str">
        <v/>
      </c>
      <c r="K903" t="str">
        <v/>
      </c>
    </row>
    <row r="904" spans="10:11" x14ac:dyDescent="0.35">
      <c r="J904" t="str">
        <v/>
      </c>
      <c r="K904" t="str">
        <v/>
      </c>
    </row>
    <row r="905" spans="10:11" x14ac:dyDescent="0.35">
      <c r="J905" t="str">
        <v/>
      </c>
      <c r="K905" t="str">
        <v/>
      </c>
    </row>
    <row r="906" spans="10:11" x14ac:dyDescent="0.35">
      <c r="J906" t="str">
        <v/>
      </c>
      <c r="K906" t="str">
        <v/>
      </c>
    </row>
    <row r="907" spans="10:11" x14ac:dyDescent="0.35">
      <c r="J907" t="str">
        <v/>
      </c>
      <c r="K907" t="str">
        <v/>
      </c>
    </row>
    <row r="908" spans="10:11" x14ac:dyDescent="0.35">
      <c r="J908" t="str">
        <v/>
      </c>
      <c r="K908" t="str">
        <v/>
      </c>
    </row>
    <row r="909" spans="10:11" x14ac:dyDescent="0.35">
      <c r="J909" t="str">
        <v/>
      </c>
      <c r="K909" t="str">
        <v/>
      </c>
    </row>
    <row r="910" spans="10:11" x14ac:dyDescent="0.35">
      <c r="J910" t="str">
        <v/>
      </c>
      <c r="K910" t="str">
        <v/>
      </c>
    </row>
    <row r="911" spans="10:11" x14ac:dyDescent="0.35">
      <c r="J911" t="str">
        <v/>
      </c>
      <c r="K911" t="str">
        <v/>
      </c>
    </row>
    <row r="912" spans="10:11" x14ac:dyDescent="0.35">
      <c r="J912" t="str">
        <v/>
      </c>
      <c r="K912" t="str">
        <v/>
      </c>
    </row>
    <row r="913" spans="10:11" x14ac:dyDescent="0.35">
      <c r="J913" t="str">
        <v/>
      </c>
      <c r="K913" t="str">
        <v/>
      </c>
    </row>
    <row r="914" spans="10:11" x14ac:dyDescent="0.35">
      <c r="J914" t="str">
        <v/>
      </c>
      <c r="K914" t="str">
        <v/>
      </c>
    </row>
    <row r="915" spans="10:11" x14ac:dyDescent="0.35">
      <c r="J915" t="str">
        <v/>
      </c>
      <c r="K915" t="str">
        <v/>
      </c>
    </row>
    <row r="916" spans="10:11" x14ac:dyDescent="0.35">
      <c r="J916" t="str">
        <v/>
      </c>
      <c r="K916" t="str">
        <v/>
      </c>
    </row>
    <row r="917" spans="10:11" x14ac:dyDescent="0.35">
      <c r="J917" t="str">
        <v/>
      </c>
      <c r="K917" t="str">
        <v/>
      </c>
    </row>
    <row r="918" spans="10:11" x14ac:dyDescent="0.35">
      <c r="J918" t="str">
        <v/>
      </c>
      <c r="K918" t="str">
        <v/>
      </c>
    </row>
    <row r="919" spans="10:11" x14ac:dyDescent="0.35">
      <c r="J919" t="str">
        <v/>
      </c>
      <c r="K919" t="str">
        <v/>
      </c>
    </row>
    <row r="920" spans="10:11" x14ac:dyDescent="0.35">
      <c r="J920" t="str">
        <v/>
      </c>
      <c r="K920" t="str">
        <v/>
      </c>
    </row>
    <row r="921" spans="10:11" x14ac:dyDescent="0.35">
      <c r="J921" t="str">
        <v/>
      </c>
      <c r="K921" t="str">
        <v/>
      </c>
    </row>
    <row r="922" spans="10:11" x14ac:dyDescent="0.35">
      <c r="J922" t="str">
        <v/>
      </c>
      <c r="K922" t="str">
        <v/>
      </c>
    </row>
    <row r="923" spans="10:11" x14ac:dyDescent="0.35">
      <c r="J923" t="str">
        <v/>
      </c>
      <c r="K923" t="str">
        <v/>
      </c>
    </row>
    <row r="924" spans="10:11" x14ac:dyDescent="0.35">
      <c r="J924" t="str">
        <v/>
      </c>
      <c r="K924" t="str">
        <v/>
      </c>
    </row>
    <row r="925" spans="10:11" x14ac:dyDescent="0.35">
      <c r="J925" t="str">
        <v/>
      </c>
      <c r="K925" t="str">
        <v/>
      </c>
    </row>
    <row r="926" spans="10:11" x14ac:dyDescent="0.35">
      <c r="J926" t="str">
        <v/>
      </c>
      <c r="K926" t="str">
        <v/>
      </c>
    </row>
    <row r="927" spans="10:11" x14ac:dyDescent="0.35">
      <c r="J927" t="str">
        <v/>
      </c>
      <c r="K927" t="str">
        <v/>
      </c>
    </row>
    <row r="928" spans="10:11" x14ac:dyDescent="0.35">
      <c r="J928" t="str">
        <v/>
      </c>
      <c r="K928" t="str">
        <v/>
      </c>
    </row>
    <row r="929" spans="10:11" x14ac:dyDescent="0.35">
      <c r="J929" t="str">
        <v/>
      </c>
      <c r="K929" t="str">
        <v/>
      </c>
    </row>
    <row r="930" spans="10:11" x14ac:dyDescent="0.35">
      <c r="J930" t="str">
        <v/>
      </c>
      <c r="K930" t="str">
        <v/>
      </c>
    </row>
    <row r="931" spans="10:11" x14ac:dyDescent="0.35">
      <c r="J931" t="str">
        <v/>
      </c>
      <c r="K931" t="str">
        <v/>
      </c>
    </row>
    <row r="932" spans="10:11" x14ac:dyDescent="0.35">
      <c r="J932" t="str">
        <v/>
      </c>
      <c r="K932" t="str">
        <v/>
      </c>
    </row>
    <row r="933" spans="10:11" x14ac:dyDescent="0.35">
      <c r="J933" t="str">
        <v/>
      </c>
      <c r="K933" t="str">
        <v/>
      </c>
    </row>
    <row r="934" spans="10:11" x14ac:dyDescent="0.35">
      <c r="J934" t="str">
        <v/>
      </c>
      <c r="K934" t="str">
        <v/>
      </c>
    </row>
    <row r="935" spans="10:11" x14ac:dyDescent="0.35">
      <c r="J935" t="str">
        <v/>
      </c>
      <c r="K935" t="str">
        <v/>
      </c>
    </row>
    <row r="936" spans="10:11" x14ac:dyDescent="0.35">
      <c r="J936" t="str">
        <v/>
      </c>
      <c r="K936" t="str">
        <v/>
      </c>
    </row>
    <row r="937" spans="10:11" x14ac:dyDescent="0.35">
      <c r="J937" t="str">
        <v/>
      </c>
      <c r="K937" t="str">
        <v/>
      </c>
    </row>
    <row r="938" spans="10:11" x14ac:dyDescent="0.35">
      <c r="J938" t="str">
        <v/>
      </c>
      <c r="K938" t="str">
        <v/>
      </c>
    </row>
    <row r="939" spans="10:11" x14ac:dyDescent="0.35">
      <c r="J939" t="str">
        <v/>
      </c>
      <c r="K939" t="str">
        <v/>
      </c>
    </row>
    <row r="940" spans="10:11" x14ac:dyDescent="0.35">
      <c r="J940" t="str">
        <v/>
      </c>
      <c r="K940" t="str">
        <v/>
      </c>
    </row>
    <row r="941" spans="10:11" x14ac:dyDescent="0.35">
      <c r="J941" t="str">
        <v/>
      </c>
      <c r="K941" t="str">
        <v/>
      </c>
    </row>
    <row r="942" spans="10:11" x14ac:dyDescent="0.35">
      <c r="J942" t="str">
        <v/>
      </c>
      <c r="K942" t="str">
        <v/>
      </c>
    </row>
    <row r="943" spans="10:11" x14ac:dyDescent="0.35">
      <c r="J943" t="str">
        <v/>
      </c>
      <c r="K943" t="str">
        <v/>
      </c>
    </row>
    <row r="944" spans="10:11" x14ac:dyDescent="0.35">
      <c r="J944" t="str">
        <v/>
      </c>
      <c r="K944" t="str">
        <v/>
      </c>
    </row>
    <row r="945" spans="10:11" x14ac:dyDescent="0.35">
      <c r="J945" t="str">
        <v/>
      </c>
      <c r="K945" t="str">
        <v/>
      </c>
    </row>
    <row r="946" spans="10:11" x14ac:dyDescent="0.35">
      <c r="J946" t="str">
        <v/>
      </c>
      <c r="K946" t="str">
        <v/>
      </c>
    </row>
    <row r="947" spans="10:11" x14ac:dyDescent="0.35">
      <c r="J947" t="str">
        <v/>
      </c>
      <c r="K947" t="str">
        <v/>
      </c>
    </row>
    <row r="948" spans="10:11" x14ac:dyDescent="0.35">
      <c r="J948" t="str">
        <v/>
      </c>
      <c r="K948" t="str">
        <v/>
      </c>
    </row>
    <row r="949" spans="10:11" x14ac:dyDescent="0.35">
      <c r="J949" t="str">
        <v/>
      </c>
      <c r="K949" t="str">
        <v/>
      </c>
    </row>
    <row r="950" spans="10:11" x14ac:dyDescent="0.35">
      <c r="J950" t="str">
        <v/>
      </c>
      <c r="K950" t="str">
        <v/>
      </c>
    </row>
    <row r="951" spans="10:11" x14ac:dyDescent="0.35">
      <c r="J951" t="str">
        <v/>
      </c>
      <c r="K951" t="str">
        <v/>
      </c>
    </row>
    <row r="952" spans="10:11" x14ac:dyDescent="0.35">
      <c r="J952" t="str">
        <v/>
      </c>
      <c r="K952" t="str">
        <v/>
      </c>
    </row>
    <row r="953" spans="10:11" x14ac:dyDescent="0.35">
      <c r="J953" t="str">
        <v/>
      </c>
      <c r="K953" t="str">
        <v/>
      </c>
    </row>
    <row r="954" spans="10:11" x14ac:dyDescent="0.35">
      <c r="J954" t="str">
        <v/>
      </c>
      <c r="K954" t="str">
        <v/>
      </c>
    </row>
    <row r="955" spans="10:11" x14ac:dyDescent="0.35">
      <c r="J955" t="str">
        <v/>
      </c>
      <c r="K955" t="str">
        <v/>
      </c>
    </row>
    <row r="956" spans="10:11" x14ac:dyDescent="0.35">
      <c r="J956" t="str">
        <v/>
      </c>
      <c r="K956" t="str">
        <v/>
      </c>
    </row>
    <row r="957" spans="10:11" x14ac:dyDescent="0.35">
      <c r="J957" t="str">
        <v/>
      </c>
      <c r="K957" t="str">
        <v/>
      </c>
    </row>
    <row r="958" spans="10:11" x14ac:dyDescent="0.35">
      <c r="J958" t="str">
        <v/>
      </c>
      <c r="K958" t="str">
        <v/>
      </c>
    </row>
    <row r="959" spans="10:11" x14ac:dyDescent="0.35">
      <c r="J959" t="str">
        <v/>
      </c>
      <c r="K959" t="str">
        <v/>
      </c>
    </row>
    <row r="960" spans="10:11" x14ac:dyDescent="0.35">
      <c r="J960" t="str">
        <v/>
      </c>
      <c r="K960" t="str">
        <v/>
      </c>
    </row>
    <row r="961" spans="10:11" x14ac:dyDescent="0.35">
      <c r="J961" t="str">
        <v/>
      </c>
      <c r="K961" t="str">
        <v/>
      </c>
    </row>
    <row r="962" spans="10:11" x14ac:dyDescent="0.35">
      <c r="J962" t="str">
        <v/>
      </c>
      <c r="K962" t="str">
        <v/>
      </c>
    </row>
    <row r="963" spans="10:11" x14ac:dyDescent="0.35">
      <c r="J963" t="str">
        <v/>
      </c>
      <c r="K963" t="str">
        <v/>
      </c>
    </row>
    <row r="964" spans="10:11" x14ac:dyDescent="0.35">
      <c r="J964" t="str">
        <v/>
      </c>
      <c r="K964" t="str">
        <v/>
      </c>
    </row>
    <row r="965" spans="10:11" x14ac:dyDescent="0.35">
      <c r="J965" t="str">
        <v/>
      </c>
      <c r="K965" t="str">
        <v/>
      </c>
    </row>
    <row r="966" spans="10:11" x14ac:dyDescent="0.35">
      <c r="J966" t="str">
        <v/>
      </c>
      <c r="K966" t="str">
        <v/>
      </c>
    </row>
    <row r="967" spans="10:11" x14ac:dyDescent="0.35">
      <c r="J967" t="str">
        <v/>
      </c>
      <c r="K967" t="str">
        <v/>
      </c>
    </row>
    <row r="968" spans="10:11" x14ac:dyDescent="0.35">
      <c r="J968" t="str">
        <v/>
      </c>
      <c r="K968" t="str">
        <v/>
      </c>
    </row>
    <row r="969" spans="10:11" x14ac:dyDescent="0.35">
      <c r="J969" t="str">
        <v/>
      </c>
      <c r="K969" t="str">
        <v/>
      </c>
    </row>
    <row r="970" spans="10:11" x14ac:dyDescent="0.35">
      <c r="J970" t="str">
        <v/>
      </c>
      <c r="K970" t="str">
        <v/>
      </c>
    </row>
    <row r="971" spans="10:11" x14ac:dyDescent="0.35">
      <c r="J971" t="str">
        <v/>
      </c>
      <c r="K971" t="str">
        <v/>
      </c>
    </row>
    <row r="972" spans="10:11" x14ac:dyDescent="0.35">
      <c r="J972" t="str">
        <v/>
      </c>
      <c r="K972" t="str">
        <v/>
      </c>
    </row>
    <row r="973" spans="10:11" x14ac:dyDescent="0.35">
      <c r="J973" t="str">
        <v/>
      </c>
      <c r="K973" t="str">
        <v/>
      </c>
    </row>
    <row r="974" spans="10:11" x14ac:dyDescent="0.35">
      <c r="J974" t="str">
        <v/>
      </c>
      <c r="K974" t="str">
        <v/>
      </c>
    </row>
    <row r="975" spans="10:11" x14ac:dyDescent="0.35">
      <c r="J975" t="str">
        <v/>
      </c>
      <c r="K975" t="str">
        <v/>
      </c>
    </row>
    <row r="976" spans="10:11" x14ac:dyDescent="0.35">
      <c r="J976" t="str">
        <v/>
      </c>
      <c r="K976" t="str">
        <v/>
      </c>
    </row>
    <row r="977" spans="10:11" x14ac:dyDescent="0.35">
      <c r="J977" t="str">
        <v/>
      </c>
      <c r="K977" t="str">
        <v/>
      </c>
    </row>
    <row r="978" spans="10:11" x14ac:dyDescent="0.35">
      <c r="J978" t="str">
        <v/>
      </c>
      <c r="K978" t="str">
        <v/>
      </c>
    </row>
    <row r="979" spans="10:11" x14ac:dyDescent="0.35">
      <c r="J979" t="str">
        <v/>
      </c>
      <c r="K979" t="str">
        <v/>
      </c>
    </row>
    <row r="980" spans="10:11" x14ac:dyDescent="0.35">
      <c r="J980" t="str">
        <v/>
      </c>
      <c r="K980" t="str">
        <v/>
      </c>
    </row>
    <row r="981" spans="10:11" x14ac:dyDescent="0.35">
      <c r="J981" t="str">
        <v/>
      </c>
      <c r="K981" t="str">
        <v/>
      </c>
    </row>
    <row r="982" spans="10:11" x14ac:dyDescent="0.35">
      <c r="J982" t="str">
        <v/>
      </c>
      <c r="K982" t="str">
        <v/>
      </c>
    </row>
    <row r="983" spans="10:11" x14ac:dyDescent="0.35">
      <c r="J983" t="str">
        <v/>
      </c>
      <c r="K983" t="str">
        <v/>
      </c>
    </row>
    <row r="984" spans="10:11" x14ac:dyDescent="0.35">
      <c r="J984" t="str">
        <v/>
      </c>
      <c r="K984" t="str">
        <v/>
      </c>
    </row>
    <row r="985" spans="10:11" x14ac:dyDescent="0.35">
      <c r="J985" t="str">
        <v/>
      </c>
      <c r="K985" t="str">
        <v/>
      </c>
    </row>
    <row r="986" spans="10:11" x14ac:dyDescent="0.35">
      <c r="J986" t="str">
        <v/>
      </c>
      <c r="K986" t="str">
        <v/>
      </c>
    </row>
    <row r="987" spans="10:11" x14ac:dyDescent="0.35">
      <c r="J987" t="str">
        <v/>
      </c>
      <c r="K987" t="str">
        <v/>
      </c>
    </row>
    <row r="988" spans="10:11" x14ac:dyDescent="0.35">
      <c r="J988" t="str">
        <v/>
      </c>
      <c r="K988" t="str">
        <v/>
      </c>
    </row>
    <row r="989" spans="10:11" x14ac:dyDescent="0.35">
      <c r="J989" t="str">
        <v/>
      </c>
      <c r="K989" t="str">
        <v/>
      </c>
    </row>
    <row r="990" spans="10:11" x14ac:dyDescent="0.35">
      <c r="J990" t="str">
        <v/>
      </c>
      <c r="K990" t="str">
        <v/>
      </c>
    </row>
    <row r="991" spans="10:11" x14ac:dyDescent="0.35">
      <c r="J991" t="str">
        <v/>
      </c>
      <c r="K991" t="str">
        <v/>
      </c>
    </row>
    <row r="992" spans="10:11" x14ac:dyDescent="0.35">
      <c r="J992" t="str">
        <v/>
      </c>
      <c r="K992" t="str">
        <v/>
      </c>
    </row>
    <row r="993" spans="10:11" x14ac:dyDescent="0.35">
      <c r="J993" t="str">
        <v/>
      </c>
      <c r="K993" t="str">
        <v/>
      </c>
    </row>
    <row r="994" spans="10:11" x14ac:dyDescent="0.35">
      <c r="J994" t="str">
        <v/>
      </c>
      <c r="K994" t="str">
        <v/>
      </c>
    </row>
    <row r="995" spans="10:11" x14ac:dyDescent="0.35">
      <c r="J995" t="str">
        <v/>
      </c>
      <c r="K995" t="str">
        <v/>
      </c>
    </row>
    <row r="996" spans="10:11" x14ac:dyDescent="0.35">
      <c r="J996" t="str">
        <v/>
      </c>
      <c r="K996" t="str">
        <v/>
      </c>
    </row>
    <row r="997" spans="10:11" x14ac:dyDescent="0.35">
      <c r="J997" t="str">
        <v/>
      </c>
      <c r="K997" t="str">
        <v/>
      </c>
    </row>
    <row r="998" spans="10:11" x14ac:dyDescent="0.35">
      <c r="J998" t="str">
        <v/>
      </c>
      <c r="K998" t="str">
        <v/>
      </c>
    </row>
    <row r="999" spans="10:11" x14ac:dyDescent="0.35">
      <c r="J999" t="str">
        <v/>
      </c>
      <c r="K999" t="str">
        <v/>
      </c>
    </row>
    <row r="1000" spans="10:11" x14ac:dyDescent="0.35">
      <c r="J1000" t="str">
        <v/>
      </c>
      <c r="K1000" t="str">
        <v/>
      </c>
    </row>
    <row r="1001" spans="10:11" x14ac:dyDescent="0.35">
      <c r="J1001" t="str">
        <v/>
      </c>
      <c r="K1001" t="str">
        <v/>
      </c>
    </row>
    <row r="1002" spans="10:11" x14ac:dyDescent="0.35">
      <c r="J1002" t="str">
        <v/>
      </c>
      <c r="K1002" t="str">
        <v/>
      </c>
    </row>
    <row r="1003" spans="10:11" x14ac:dyDescent="0.35">
      <c r="J1003" t="str">
        <v/>
      </c>
      <c r="K1003" t="str">
        <v/>
      </c>
    </row>
    <row r="1004" spans="10:11" x14ac:dyDescent="0.35">
      <c r="J1004" t="str">
        <v/>
      </c>
      <c r="K1004" t="str">
        <v/>
      </c>
    </row>
    <row r="1005" spans="10:11" x14ac:dyDescent="0.35">
      <c r="J1005" t="str">
        <v/>
      </c>
      <c r="K1005" t="str">
        <v/>
      </c>
    </row>
    <row r="1006" spans="10:11" x14ac:dyDescent="0.35">
      <c r="J1006" t="str">
        <v/>
      </c>
      <c r="K1006" t="str">
        <v/>
      </c>
    </row>
    <row r="1007" spans="10:11" x14ac:dyDescent="0.35">
      <c r="J1007" t="str">
        <v/>
      </c>
      <c r="K1007" t="str">
        <v/>
      </c>
    </row>
    <row r="1008" spans="10:11" x14ac:dyDescent="0.35">
      <c r="J1008" t="str">
        <v/>
      </c>
      <c r="K1008" t="str">
        <v/>
      </c>
    </row>
    <row r="1009" spans="10:11" x14ac:dyDescent="0.35">
      <c r="J1009" t="str">
        <v/>
      </c>
      <c r="K1009" t="str">
        <v/>
      </c>
    </row>
    <row r="1010" spans="10:11" x14ac:dyDescent="0.35">
      <c r="J1010" t="str">
        <v/>
      </c>
      <c r="K1010" t="str">
        <v/>
      </c>
    </row>
    <row r="1011" spans="10:11" x14ac:dyDescent="0.35">
      <c r="J1011" t="str">
        <v/>
      </c>
      <c r="K1011" t="str">
        <v/>
      </c>
    </row>
    <row r="1012" spans="10:11" x14ac:dyDescent="0.35">
      <c r="J1012" t="str">
        <v/>
      </c>
      <c r="K1012" t="str">
        <v/>
      </c>
    </row>
    <row r="1013" spans="10:11" x14ac:dyDescent="0.35">
      <c r="J1013" t="str">
        <v/>
      </c>
      <c r="K1013" t="str">
        <v/>
      </c>
    </row>
    <row r="1014" spans="10:11" x14ac:dyDescent="0.35">
      <c r="J1014" t="str">
        <v/>
      </c>
      <c r="K1014" t="str">
        <v/>
      </c>
    </row>
    <row r="1015" spans="10:11" x14ac:dyDescent="0.35">
      <c r="J1015" t="str">
        <v/>
      </c>
      <c r="K1015" t="str">
        <v/>
      </c>
    </row>
    <row r="1016" spans="10:11" x14ac:dyDescent="0.35">
      <c r="J1016" t="str">
        <v/>
      </c>
      <c r="K1016" t="str">
        <v/>
      </c>
    </row>
    <row r="1017" spans="10:11" x14ac:dyDescent="0.35">
      <c r="J1017" t="str">
        <v/>
      </c>
      <c r="K1017" t="str">
        <v/>
      </c>
    </row>
    <row r="1018" spans="10:11" x14ac:dyDescent="0.35">
      <c r="J1018" t="str">
        <v/>
      </c>
      <c r="K1018" t="str">
        <v/>
      </c>
    </row>
    <row r="1019" spans="10:11" x14ac:dyDescent="0.35">
      <c r="J1019" t="str">
        <v/>
      </c>
      <c r="K1019" t="str">
        <v/>
      </c>
    </row>
    <row r="1020" spans="10:11" x14ac:dyDescent="0.35">
      <c r="J1020" t="str">
        <v/>
      </c>
      <c r="K1020" t="str">
        <v/>
      </c>
    </row>
    <row r="1021" spans="10:11" x14ac:dyDescent="0.35">
      <c r="J1021" t="str">
        <v/>
      </c>
      <c r="K1021" t="str">
        <v/>
      </c>
    </row>
    <row r="1022" spans="10:11" x14ac:dyDescent="0.35">
      <c r="J1022" t="str">
        <v/>
      </c>
      <c r="K1022" t="str">
        <v/>
      </c>
    </row>
  </sheetData>
  <mergeCells count="4">
    <mergeCell ref="G4:I4"/>
    <mergeCell ref="B4:D4"/>
    <mergeCell ref="B2:D2"/>
    <mergeCell ref="J4:N4"/>
  </mergeCells>
  <dataValidations count="1">
    <dataValidation type="list" showInputMessage="1" showErrorMessage="1" sqref="C7" xr:uid="{0BB324FA-9D71-4ABF-B380-5E46276E6B59}">
      <formula1>$P$7:$P$30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zoomScale="120" zoomScaleNormal="120" workbookViewId="0">
      <selection activeCell="I1" sqref="I1"/>
    </sheetView>
  </sheetViews>
  <sheetFormatPr defaultRowHeight="14.5" x14ac:dyDescent="0.35"/>
  <cols>
    <col min="1" max="1" width="22" customWidth="1"/>
    <col min="2" max="2" width="27.1796875" customWidth="1"/>
    <col min="3" max="3" width="17" customWidth="1"/>
    <col min="4" max="4" width="11.1796875" customWidth="1"/>
    <col min="5" max="5" width="9.453125" bestFit="1" customWidth="1"/>
    <col min="6" max="6" width="7.1796875" customWidth="1"/>
    <col min="7" max="7" width="8.81640625" customWidth="1"/>
    <col min="9" max="9" width="13.453125" customWidth="1"/>
    <col min="10" max="10" width="12.54296875" customWidth="1"/>
    <col min="11" max="11" width="27.81640625" customWidth="1"/>
  </cols>
  <sheetData>
    <row r="1" spans="1:12" x14ac:dyDescent="0.35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25</v>
      </c>
      <c r="I1" s="11" t="s">
        <v>93</v>
      </c>
      <c r="J1" s="11" t="s">
        <v>87</v>
      </c>
      <c r="K1" s="11" t="s">
        <v>88</v>
      </c>
      <c r="L1" s="11"/>
    </row>
    <row r="2" spans="1:12" x14ac:dyDescent="0.35">
      <c r="A2" t="s">
        <v>162</v>
      </c>
      <c r="B2" t="s">
        <v>162</v>
      </c>
      <c r="C2" t="s">
        <v>53</v>
      </c>
      <c r="D2" t="s">
        <v>54</v>
      </c>
      <c r="E2" t="s">
        <v>52</v>
      </c>
      <c r="F2">
        <v>0</v>
      </c>
      <c r="G2">
        <v>10</v>
      </c>
      <c r="I2" t="s">
        <v>94</v>
      </c>
      <c r="J2" t="s">
        <v>56</v>
      </c>
      <c r="K2" t="s">
        <v>55</v>
      </c>
    </row>
    <row r="3" spans="1:12" x14ac:dyDescent="0.35">
      <c r="A3" t="s">
        <v>57</v>
      </c>
      <c r="B3" t="s">
        <v>26</v>
      </c>
      <c r="C3" t="s">
        <v>27</v>
      </c>
      <c r="D3" t="s">
        <v>28</v>
      </c>
      <c r="E3" t="s">
        <v>29</v>
      </c>
      <c r="F3">
        <v>0.9</v>
      </c>
      <c r="G3">
        <v>1.3</v>
      </c>
      <c r="H3" s="11"/>
      <c r="I3" t="s">
        <v>117</v>
      </c>
      <c r="J3" t="s">
        <v>59</v>
      </c>
      <c r="K3" t="s">
        <v>58</v>
      </c>
    </row>
    <row r="4" spans="1:12" x14ac:dyDescent="0.35">
      <c r="A4" t="s">
        <v>57</v>
      </c>
      <c r="B4" t="s">
        <v>30</v>
      </c>
      <c r="C4" t="s">
        <v>27</v>
      </c>
      <c r="D4" t="s">
        <v>31</v>
      </c>
      <c r="E4" t="s">
        <v>29</v>
      </c>
      <c r="F4">
        <v>0.9</v>
      </c>
      <c r="G4">
        <v>1.3</v>
      </c>
      <c r="I4" t="s">
        <v>117</v>
      </c>
      <c r="J4" t="s">
        <v>59</v>
      </c>
      <c r="K4" t="s">
        <v>58</v>
      </c>
    </row>
    <row r="5" spans="1:12" x14ac:dyDescent="0.35">
      <c r="A5" t="s">
        <v>57</v>
      </c>
      <c r="B5" t="s">
        <v>32</v>
      </c>
      <c r="C5" t="s">
        <v>27</v>
      </c>
      <c r="D5" t="s">
        <v>33</v>
      </c>
      <c r="E5" t="s">
        <v>29</v>
      </c>
      <c r="F5">
        <v>0.9</v>
      </c>
      <c r="G5">
        <v>1.3</v>
      </c>
      <c r="I5" t="s">
        <v>117</v>
      </c>
      <c r="J5" t="s">
        <v>59</v>
      </c>
      <c r="K5" t="s">
        <v>58</v>
      </c>
    </row>
    <row r="6" spans="1:12" x14ac:dyDescent="0.35">
      <c r="A6" t="s">
        <v>57</v>
      </c>
      <c r="B6" t="s">
        <v>34</v>
      </c>
      <c r="C6" t="s">
        <v>27</v>
      </c>
      <c r="D6" t="s">
        <v>35</v>
      </c>
      <c r="E6" t="s">
        <v>29</v>
      </c>
      <c r="F6">
        <v>0.9</v>
      </c>
      <c r="G6">
        <v>1.3</v>
      </c>
      <c r="I6" t="s">
        <v>117</v>
      </c>
      <c r="J6" t="s">
        <v>59</v>
      </c>
      <c r="K6" t="s">
        <v>58</v>
      </c>
    </row>
    <row r="7" spans="1:12" x14ac:dyDescent="0.35">
      <c r="A7" t="s">
        <v>57</v>
      </c>
      <c r="B7" t="s">
        <v>36</v>
      </c>
      <c r="C7" t="s">
        <v>27</v>
      </c>
      <c r="D7" t="s">
        <v>37</v>
      </c>
      <c r="E7" t="s">
        <v>29</v>
      </c>
      <c r="F7">
        <v>0.9</v>
      </c>
      <c r="G7">
        <v>1.3</v>
      </c>
      <c r="I7" t="s">
        <v>117</v>
      </c>
      <c r="J7" t="s">
        <v>59</v>
      </c>
      <c r="K7" t="s">
        <v>58</v>
      </c>
    </row>
    <row r="8" spans="1:12" x14ac:dyDescent="0.35">
      <c r="A8" t="s">
        <v>57</v>
      </c>
      <c r="B8" t="s">
        <v>38</v>
      </c>
      <c r="C8" t="s">
        <v>27</v>
      </c>
      <c r="D8" t="s">
        <v>39</v>
      </c>
      <c r="E8" t="s">
        <v>29</v>
      </c>
      <c r="F8">
        <v>0.9</v>
      </c>
      <c r="G8">
        <v>1.3</v>
      </c>
      <c r="I8" t="s">
        <v>117</v>
      </c>
      <c r="J8" t="s">
        <v>59</v>
      </c>
      <c r="K8" t="s">
        <v>58</v>
      </c>
    </row>
    <row r="9" spans="1:12" x14ac:dyDescent="0.35">
      <c r="A9" t="s">
        <v>145</v>
      </c>
      <c r="B9" t="s">
        <v>61</v>
      </c>
      <c r="C9" t="s">
        <v>27</v>
      </c>
      <c r="D9" t="s">
        <v>40</v>
      </c>
      <c r="E9" t="s">
        <v>52</v>
      </c>
      <c r="F9">
        <v>3</v>
      </c>
      <c r="G9">
        <v>8</v>
      </c>
      <c r="I9" t="s">
        <v>95</v>
      </c>
      <c r="J9" t="s">
        <v>157</v>
      </c>
      <c r="K9" t="s">
        <v>62</v>
      </c>
    </row>
    <row r="10" spans="1:12" x14ac:dyDescent="0.35">
      <c r="A10" t="s">
        <v>156</v>
      </c>
      <c r="B10" t="s">
        <v>96</v>
      </c>
      <c r="C10" t="s">
        <v>27</v>
      </c>
      <c r="D10" t="s">
        <v>100</v>
      </c>
      <c r="E10" t="s">
        <v>29</v>
      </c>
      <c r="F10">
        <v>0.5</v>
      </c>
      <c r="G10">
        <v>1.2</v>
      </c>
      <c r="I10" t="s">
        <v>117</v>
      </c>
      <c r="J10" t="s">
        <v>157</v>
      </c>
      <c r="K10" t="s">
        <v>62</v>
      </c>
    </row>
    <row r="11" spans="1:12" x14ac:dyDescent="0.35">
      <c r="A11" t="s">
        <v>156</v>
      </c>
      <c r="B11" t="s">
        <v>97</v>
      </c>
      <c r="C11" t="s">
        <v>27</v>
      </c>
      <c r="D11" t="s">
        <v>101</v>
      </c>
      <c r="E11" t="s">
        <v>29</v>
      </c>
      <c r="F11">
        <v>0.5</v>
      </c>
      <c r="G11">
        <v>1.2</v>
      </c>
      <c r="I11" t="s">
        <v>117</v>
      </c>
      <c r="J11" t="s">
        <v>157</v>
      </c>
      <c r="K11" t="s">
        <v>62</v>
      </c>
    </row>
    <row r="12" spans="1:12" x14ac:dyDescent="0.35">
      <c r="A12" t="s">
        <v>156</v>
      </c>
      <c r="B12" t="s">
        <v>98</v>
      </c>
      <c r="C12" t="s">
        <v>27</v>
      </c>
      <c r="D12" t="s">
        <v>102</v>
      </c>
      <c r="E12" t="s">
        <v>29</v>
      </c>
      <c r="F12">
        <v>0.5</v>
      </c>
      <c r="G12">
        <v>1.2</v>
      </c>
      <c r="I12" t="s">
        <v>117</v>
      </c>
      <c r="J12" t="s">
        <v>157</v>
      </c>
      <c r="K12" t="s">
        <v>62</v>
      </c>
    </row>
    <row r="13" spans="1:12" x14ac:dyDescent="0.35">
      <c r="A13" t="s">
        <v>156</v>
      </c>
      <c r="B13" t="s">
        <v>99</v>
      </c>
      <c r="C13" t="s">
        <v>27</v>
      </c>
      <c r="D13" t="s">
        <v>103</v>
      </c>
      <c r="E13" t="s">
        <v>29</v>
      </c>
      <c r="F13">
        <v>0.5</v>
      </c>
      <c r="G13">
        <v>1.2</v>
      </c>
      <c r="I13" t="s">
        <v>117</v>
      </c>
      <c r="J13" t="s">
        <v>157</v>
      </c>
      <c r="K13" t="s">
        <v>62</v>
      </c>
    </row>
    <row r="14" spans="1:12" x14ac:dyDescent="0.35">
      <c r="A14" t="s">
        <v>156</v>
      </c>
      <c r="B14" t="s">
        <v>167</v>
      </c>
      <c r="C14" t="s">
        <v>27</v>
      </c>
      <c r="D14" t="s">
        <v>169</v>
      </c>
      <c r="E14" t="s">
        <v>29</v>
      </c>
      <c r="F14">
        <v>0.5</v>
      </c>
      <c r="G14">
        <v>1.2</v>
      </c>
      <c r="I14" t="s">
        <v>117</v>
      </c>
      <c r="J14" t="s">
        <v>157</v>
      </c>
      <c r="K14" t="s">
        <v>62</v>
      </c>
    </row>
    <row r="15" spans="1:12" x14ac:dyDescent="0.35">
      <c r="A15" t="s">
        <v>156</v>
      </c>
      <c r="B15" t="s">
        <v>168</v>
      </c>
      <c r="C15" t="s">
        <v>27</v>
      </c>
      <c r="D15" t="s">
        <v>170</v>
      </c>
      <c r="E15" t="s">
        <v>29</v>
      </c>
      <c r="F15">
        <v>0.5</v>
      </c>
      <c r="G15">
        <v>1.2</v>
      </c>
      <c r="I15" t="s">
        <v>117</v>
      </c>
      <c r="J15" t="s">
        <v>157</v>
      </c>
      <c r="K15" t="s">
        <v>62</v>
      </c>
    </row>
    <row r="16" spans="1:12" x14ac:dyDescent="0.35">
      <c r="A16" t="s">
        <v>104</v>
      </c>
      <c r="B16" t="s">
        <v>104</v>
      </c>
      <c r="C16" t="s">
        <v>27</v>
      </c>
      <c r="D16" t="s">
        <v>105</v>
      </c>
      <c r="E16" t="s">
        <v>52</v>
      </c>
      <c r="F16">
        <v>90</v>
      </c>
      <c r="G16">
        <v>120</v>
      </c>
      <c r="I16" t="s">
        <v>106</v>
      </c>
      <c r="J16" t="s">
        <v>59</v>
      </c>
      <c r="K16" t="s">
        <v>58</v>
      </c>
    </row>
    <row r="17" spans="1:11" x14ac:dyDescent="0.35">
      <c r="A17" t="s">
        <v>41</v>
      </c>
      <c r="B17" t="s">
        <v>41</v>
      </c>
      <c r="C17" t="s">
        <v>27</v>
      </c>
      <c r="D17" t="s">
        <v>108</v>
      </c>
      <c r="E17" t="s">
        <v>52</v>
      </c>
      <c r="F17">
        <v>520</v>
      </c>
      <c r="G17">
        <v>640</v>
      </c>
      <c r="I17" t="s">
        <v>107</v>
      </c>
      <c r="J17" t="s">
        <v>59</v>
      </c>
      <c r="K17" t="s">
        <v>58</v>
      </c>
    </row>
    <row r="18" spans="1:11" x14ac:dyDescent="0.35">
      <c r="A18" t="s">
        <v>42</v>
      </c>
      <c r="B18" t="s">
        <v>42</v>
      </c>
      <c r="C18" t="s">
        <v>27</v>
      </c>
      <c r="D18" t="s">
        <v>64</v>
      </c>
      <c r="E18" t="s">
        <v>52</v>
      </c>
      <c r="F18">
        <v>80</v>
      </c>
      <c r="G18">
        <v>120</v>
      </c>
      <c r="I18" t="s">
        <v>107</v>
      </c>
      <c r="J18" t="s">
        <v>157</v>
      </c>
      <c r="K18" t="s">
        <v>55</v>
      </c>
    </row>
    <row r="19" spans="1:11" x14ac:dyDescent="0.35">
      <c r="A19" t="s">
        <v>153</v>
      </c>
      <c r="B19" t="s">
        <v>109</v>
      </c>
      <c r="C19" t="s">
        <v>27</v>
      </c>
      <c r="D19" t="s">
        <v>111</v>
      </c>
      <c r="E19" t="s">
        <v>52</v>
      </c>
      <c r="F19">
        <v>3</v>
      </c>
      <c r="G19">
        <v>8</v>
      </c>
      <c r="I19" t="s">
        <v>94</v>
      </c>
      <c r="J19" t="s">
        <v>59</v>
      </c>
      <c r="K19" t="s">
        <v>58</v>
      </c>
    </row>
    <row r="20" spans="1:11" x14ac:dyDescent="0.35">
      <c r="A20" t="s">
        <v>154</v>
      </c>
      <c r="B20" t="s">
        <v>110</v>
      </c>
      <c r="C20" t="s">
        <v>27</v>
      </c>
      <c r="D20" t="s">
        <v>112</v>
      </c>
      <c r="E20" t="s">
        <v>52</v>
      </c>
      <c r="F20">
        <v>1.5</v>
      </c>
      <c r="G20">
        <v>3.5</v>
      </c>
      <c r="I20" t="s">
        <v>94</v>
      </c>
      <c r="J20" t="s">
        <v>59</v>
      </c>
      <c r="K20" t="s">
        <v>58</v>
      </c>
    </row>
    <row r="21" spans="1:11" x14ac:dyDescent="0.35">
      <c r="A21" t="s">
        <v>65</v>
      </c>
      <c r="B21" t="s">
        <v>116</v>
      </c>
      <c r="C21" t="s">
        <v>43</v>
      </c>
      <c r="D21" t="s">
        <v>172</v>
      </c>
      <c r="E21" t="s">
        <v>52</v>
      </c>
      <c r="F21">
        <v>1400</v>
      </c>
      <c r="G21">
        <v>2800</v>
      </c>
      <c r="I21" t="s">
        <v>115</v>
      </c>
      <c r="J21" t="s">
        <v>66</v>
      </c>
      <c r="K21" t="s">
        <v>158</v>
      </c>
    </row>
    <row r="22" spans="1:11" x14ac:dyDescent="0.35">
      <c r="A22" t="s">
        <v>123</v>
      </c>
      <c r="B22" t="s">
        <v>124</v>
      </c>
      <c r="C22" t="s">
        <v>43</v>
      </c>
      <c r="D22" t="s">
        <v>173</v>
      </c>
      <c r="E22" t="s">
        <v>52</v>
      </c>
      <c r="F22">
        <v>30</v>
      </c>
      <c r="G22">
        <v>70</v>
      </c>
      <c r="I22" t="s">
        <v>125</v>
      </c>
      <c r="J22" t="s">
        <v>56</v>
      </c>
      <c r="K22" t="s">
        <v>55</v>
      </c>
    </row>
    <row r="23" spans="1:11" x14ac:dyDescent="0.35">
      <c r="A23" t="s">
        <v>67</v>
      </c>
      <c r="B23" t="s">
        <v>44</v>
      </c>
      <c r="C23" t="s">
        <v>43</v>
      </c>
      <c r="D23" t="s">
        <v>126</v>
      </c>
      <c r="E23" t="s">
        <v>52</v>
      </c>
      <c r="F23">
        <v>250</v>
      </c>
      <c r="G23">
        <v>450</v>
      </c>
      <c r="I23" t="s">
        <v>115</v>
      </c>
      <c r="J23" t="s">
        <v>66</v>
      </c>
      <c r="K23" t="s">
        <v>158</v>
      </c>
    </row>
    <row r="24" spans="1:11" x14ac:dyDescent="0.35">
      <c r="A24" t="s">
        <v>67</v>
      </c>
      <c r="B24" t="s">
        <v>114</v>
      </c>
      <c r="C24" t="s">
        <v>43</v>
      </c>
      <c r="D24" t="s">
        <v>113</v>
      </c>
      <c r="E24" t="s">
        <v>52</v>
      </c>
      <c r="F24">
        <v>250</v>
      </c>
      <c r="G24">
        <v>450</v>
      </c>
      <c r="I24" t="s">
        <v>115</v>
      </c>
      <c r="J24" t="s">
        <v>66</v>
      </c>
      <c r="K24" t="s">
        <v>158</v>
      </c>
    </row>
    <row r="25" spans="1:11" x14ac:dyDescent="0.35">
      <c r="A25" t="s">
        <v>137</v>
      </c>
      <c r="B25" t="s">
        <v>138</v>
      </c>
      <c r="C25" t="s">
        <v>80</v>
      </c>
      <c r="D25" t="s">
        <v>136</v>
      </c>
      <c r="E25" t="s">
        <v>52</v>
      </c>
      <c r="F25">
        <v>90</v>
      </c>
      <c r="G25">
        <v>130</v>
      </c>
      <c r="I25" t="s">
        <v>125</v>
      </c>
      <c r="J25" t="s">
        <v>56</v>
      </c>
      <c r="K25" t="s">
        <v>60</v>
      </c>
    </row>
    <row r="26" spans="1:11" x14ac:dyDescent="0.35">
      <c r="A26" t="s">
        <v>68</v>
      </c>
      <c r="B26" t="s">
        <v>45</v>
      </c>
      <c r="C26" t="s">
        <v>43</v>
      </c>
      <c r="D26" t="s">
        <v>174</v>
      </c>
      <c r="E26" t="s">
        <v>52</v>
      </c>
      <c r="F26">
        <v>3000</v>
      </c>
      <c r="G26">
        <v>14000</v>
      </c>
      <c r="I26" t="s">
        <v>115</v>
      </c>
      <c r="J26" t="s">
        <v>66</v>
      </c>
      <c r="K26" t="s">
        <v>158</v>
      </c>
    </row>
    <row r="27" spans="1:11" x14ac:dyDescent="0.35">
      <c r="A27" t="s">
        <v>68</v>
      </c>
      <c r="B27" t="s">
        <v>46</v>
      </c>
      <c r="C27" t="s">
        <v>43</v>
      </c>
      <c r="D27" t="s">
        <v>118</v>
      </c>
      <c r="E27" t="s">
        <v>52</v>
      </c>
      <c r="F27">
        <v>3000</v>
      </c>
      <c r="G27">
        <v>14000</v>
      </c>
      <c r="I27" t="s">
        <v>115</v>
      </c>
      <c r="J27" t="s">
        <v>66</v>
      </c>
      <c r="K27" t="s">
        <v>158</v>
      </c>
    </row>
    <row r="28" spans="1:11" x14ac:dyDescent="0.35">
      <c r="A28" t="s">
        <v>150</v>
      </c>
      <c r="B28" t="s">
        <v>151</v>
      </c>
      <c r="C28" t="s">
        <v>80</v>
      </c>
      <c r="D28" t="s">
        <v>152</v>
      </c>
      <c r="E28" t="s">
        <v>52</v>
      </c>
      <c r="F28">
        <v>3</v>
      </c>
      <c r="G28">
        <v>12</v>
      </c>
      <c r="I28" t="s">
        <v>125</v>
      </c>
      <c r="J28" t="s">
        <v>56</v>
      </c>
      <c r="K28" t="s">
        <v>60</v>
      </c>
    </row>
    <row r="29" spans="1:11" x14ac:dyDescent="0.35">
      <c r="A29" t="s">
        <v>139</v>
      </c>
      <c r="B29" t="s">
        <v>47</v>
      </c>
      <c r="C29" t="s">
        <v>43</v>
      </c>
      <c r="D29" t="s">
        <v>175</v>
      </c>
      <c r="E29" t="s">
        <v>52</v>
      </c>
      <c r="F29">
        <v>0</v>
      </c>
      <c r="G29">
        <v>400</v>
      </c>
      <c r="I29" t="s">
        <v>119</v>
      </c>
      <c r="J29" t="s">
        <v>56</v>
      </c>
      <c r="K29" t="s">
        <v>159</v>
      </c>
    </row>
    <row r="30" spans="1:11" x14ac:dyDescent="0.35">
      <c r="A30" t="s">
        <v>144</v>
      </c>
      <c r="B30" t="s">
        <v>155</v>
      </c>
      <c r="C30" t="s">
        <v>80</v>
      </c>
      <c r="D30" t="s">
        <v>121</v>
      </c>
      <c r="E30" t="s">
        <v>52</v>
      </c>
      <c r="F30">
        <v>2</v>
      </c>
      <c r="G30">
        <v>8</v>
      </c>
      <c r="I30" t="s">
        <v>122</v>
      </c>
      <c r="J30" t="s">
        <v>63</v>
      </c>
      <c r="K30" t="s">
        <v>62</v>
      </c>
    </row>
    <row r="31" spans="1:11" x14ac:dyDescent="0.35">
      <c r="A31" t="s">
        <v>140</v>
      </c>
      <c r="B31" t="s">
        <v>48</v>
      </c>
      <c r="C31" t="s">
        <v>43</v>
      </c>
      <c r="D31" t="s">
        <v>176</v>
      </c>
      <c r="E31" t="s">
        <v>52</v>
      </c>
      <c r="F31">
        <v>400</v>
      </c>
      <c r="G31">
        <v>800</v>
      </c>
      <c r="I31" t="s">
        <v>119</v>
      </c>
      <c r="J31" t="s">
        <v>56</v>
      </c>
      <c r="K31" t="s">
        <v>159</v>
      </c>
    </row>
    <row r="32" spans="1:11" x14ac:dyDescent="0.35">
      <c r="A32" t="s">
        <v>143</v>
      </c>
      <c r="B32" t="s">
        <v>69</v>
      </c>
      <c r="C32" t="s">
        <v>43</v>
      </c>
      <c r="D32" t="s">
        <v>177</v>
      </c>
      <c r="E32" t="s">
        <v>52</v>
      </c>
      <c r="F32">
        <v>4</v>
      </c>
      <c r="G32">
        <v>24</v>
      </c>
      <c r="I32" t="s">
        <v>120</v>
      </c>
      <c r="J32" t="s">
        <v>63</v>
      </c>
      <c r="K32" t="s">
        <v>62</v>
      </c>
    </row>
    <row r="33" spans="1:11" x14ac:dyDescent="0.35">
      <c r="A33" t="s">
        <v>141</v>
      </c>
      <c r="B33" t="s">
        <v>49</v>
      </c>
      <c r="C33" t="s">
        <v>43</v>
      </c>
      <c r="D33" t="s">
        <v>178</v>
      </c>
      <c r="E33" t="s">
        <v>52</v>
      </c>
      <c r="F33">
        <v>0</v>
      </c>
      <c r="G33">
        <v>400</v>
      </c>
      <c r="I33" t="s">
        <v>119</v>
      </c>
      <c r="J33" t="s">
        <v>56</v>
      </c>
      <c r="K33" t="s">
        <v>159</v>
      </c>
    </row>
    <row r="34" spans="1:11" x14ac:dyDescent="0.35">
      <c r="A34" t="s">
        <v>142</v>
      </c>
      <c r="B34" t="s">
        <v>70</v>
      </c>
      <c r="C34" t="s">
        <v>43</v>
      </c>
      <c r="D34" t="s">
        <v>179</v>
      </c>
      <c r="E34" t="s">
        <v>52</v>
      </c>
      <c r="F34">
        <v>15</v>
      </c>
      <c r="G34">
        <v>45</v>
      </c>
      <c r="I34" t="s">
        <v>120</v>
      </c>
      <c r="J34" t="s">
        <v>63</v>
      </c>
      <c r="K34" t="s">
        <v>62</v>
      </c>
    </row>
    <row r="35" spans="1:11" x14ac:dyDescent="0.35">
      <c r="A35" t="s">
        <v>50</v>
      </c>
      <c r="B35" t="s">
        <v>51</v>
      </c>
      <c r="C35" t="s">
        <v>43</v>
      </c>
      <c r="D35" t="s">
        <v>180</v>
      </c>
      <c r="E35" t="s">
        <v>52</v>
      </c>
      <c r="F35">
        <v>20</v>
      </c>
      <c r="G35">
        <v>50</v>
      </c>
      <c r="I35" t="s">
        <v>94</v>
      </c>
      <c r="J35" t="s">
        <v>56</v>
      </c>
      <c r="K35" t="s">
        <v>60</v>
      </c>
    </row>
    <row r="36" spans="1:11" x14ac:dyDescent="0.35">
      <c r="A36" t="s">
        <v>71</v>
      </c>
      <c r="B36" t="s">
        <v>72</v>
      </c>
      <c r="C36" t="s">
        <v>43</v>
      </c>
      <c r="D36" t="s">
        <v>127</v>
      </c>
      <c r="E36" t="s">
        <v>29</v>
      </c>
      <c r="F36">
        <v>0.5</v>
      </c>
      <c r="G36">
        <v>1.5</v>
      </c>
      <c r="I36" t="s">
        <v>117</v>
      </c>
      <c r="J36" t="s">
        <v>66</v>
      </c>
      <c r="K36" t="s">
        <v>158</v>
      </c>
    </row>
    <row r="37" spans="1:11" x14ac:dyDescent="0.35">
      <c r="A37" t="s">
        <v>71</v>
      </c>
      <c r="B37" t="s">
        <v>73</v>
      </c>
      <c r="C37" t="s">
        <v>43</v>
      </c>
      <c r="D37" t="s">
        <v>128</v>
      </c>
      <c r="E37" t="s">
        <v>29</v>
      </c>
      <c r="F37">
        <v>0.5</v>
      </c>
      <c r="G37">
        <v>1.5</v>
      </c>
      <c r="I37" t="s">
        <v>117</v>
      </c>
      <c r="J37" t="s">
        <v>66</v>
      </c>
      <c r="K37" t="s">
        <v>158</v>
      </c>
    </row>
    <row r="38" spans="1:11" x14ac:dyDescent="0.35">
      <c r="A38" t="s">
        <v>71</v>
      </c>
      <c r="B38" t="s">
        <v>129</v>
      </c>
      <c r="C38" t="s">
        <v>43</v>
      </c>
      <c r="D38" t="s">
        <v>130</v>
      </c>
      <c r="E38" t="s">
        <v>29</v>
      </c>
      <c r="F38">
        <v>0.5</v>
      </c>
      <c r="G38">
        <v>1.5</v>
      </c>
      <c r="I38" t="s">
        <v>117</v>
      </c>
      <c r="J38" t="s">
        <v>66</v>
      </c>
      <c r="K38" t="s">
        <v>158</v>
      </c>
    </row>
    <row r="39" spans="1:11" x14ac:dyDescent="0.35">
      <c r="A39" t="s">
        <v>71</v>
      </c>
      <c r="B39" t="s">
        <v>166</v>
      </c>
      <c r="C39" t="s">
        <v>43</v>
      </c>
      <c r="D39" t="s">
        <v>131</v>
      </c>
      <c r="E39" t="s">
        <v>29</v>
      </c>
      <c r="F39">
        <v>0.5</v>
      </c>
      <c r="G39">
        <v>1.5</v>
      </c>
      <c r="I39" t="s">
        <v>117</v>
      </c>
      <c r="J39" t="s">
        <v>66</v>
      </c>
      <c r="K39" t="s">
        <v>158</v>
      </c>
    </row>
    <row r="40" spans="1:11" x14ac:dyDescent="0.35">
      <c r="A40" t="s">
        <v>71</v>
      </c>
      <c r="B40" t="s">
        <v>74</v>
      </c>
      <c r="C40" t="s">
        <v>43</v>
      </c>
      <c r="D40" t="s">
        <v>181</v>
      </c>
      <c r="E40" t="s">
        <v>29</v>
      </c>
      <c r="F40">
        <v>0.5</v>
      </c>
      <c r="G40">
        <v>1.5</v>
      </c>
      <c r="I40" t="s">
        <v>117</v>
      </c>
      <c r="J40" t="s">
        <v>66</v>
      </c>
      <c r="K40" t="s">
        <v>158</v>
      </c>
    </row>
    <row r="41" spans="1:11" x14ac:dyDescent="0.35">
      <c r="A41" t="s">
        <v>71</v>
      </c>
      <c r="B41" t="s">
        <v>75</v>
      </c>
      <c r="C41" t="s">
        <v>43</v>
      </c>
      <c r="D41" t="s">
        <v>132</v>
      </c>
      <c r="E41" t="s">
        <v>29</v>
      </c>
      <c r="F41">
        <v>0.5</v>
      </c>
      <c r="G41">
        <v>1.5</v>
      </c>
      <c r="I41" t="s">
        <v>117</v>
      </c>
      <c r="J41" t="s">
        <v>66</v>
      </c>
      <c r="K41" t="s">
        <v>158</v>
      </c>
    </row>
    <row r="42" spans="1:11" x14ac:dyDescent="0.35">
      <c r="A42" t="s">
        <v>71</v>
      </c>
      <c r="B42" t="s">
        <v>76</v>
      </c>
      <c r="C42" t="s">
        <v>43</v>
      </c>
      <c r="D42" t="s">
        <v>182</v>
      </c>
      <c r="E42" t="s">
        <v>29</v>
      </c>
      <c r="F42">
        <v>0.5</v>
      </c>
      <c r="G42">
        <v>1.5</v>
      </c>
      <c r="I42" t="s">
        <v>117</v>
      </c>
      <c r="J42" t="s">
        <v>66</v>
      </c>
      <c r="K42" t="s">
        <v>158</v>
      </c>
    </row>
    <row r="43" spans="1:11" x14ac:dyDescent="0.35">
      <c r="A43" t="s">
        <v>71</v>
      </c>
      <c r="B43" t="s">
        <v>77</v>
      </c>
      <c r="C43" t="s">
        <v>43</v>
      </c>
      <c r="D43" t="s">
        <v>133</v>
      </c>
      <c r="E43" t="s">
        <v>29</v>
      </c>
      <c r="F43">
        <v>0.5</v>
      </c>
      <c r="G43">
        <v>1.5</v>
      </c>
      <c r="I43" t="s">
        <v>117</v>
      </c>
      <c r="J43" t="s">
        <v>66</v>
      </c>
      <c r="K43" t="s">
        <v>158</v>
      </c>
    </row>
    <row r="44" spans="1:11" x14ac:dyDescent="0.35">
      <c r="A44" t="s">
        <v>71</v>
      </c>
      <c r="B44" t="s">
        <v>78</v>
      </c>
      <c r="C44" t="s">
        <v>43</v>
      </c>
      <c r="D44" t="s">
        <v>134</v>
      </c>
      <c r="E44" t="s">
        <v>29</v>
      </c>
      <c r="F44">
        <v>0.5</v>
      </c>
      <c r="G44">
        <v>1.5</v>
      </c>
      <c r="I44" t="s">
        <v>117</v>
      </c>
      <c r="J44" t="s">
        <v>66</v>
      </c>
      <c r="K44" t="s">
        <v>158</v>
      </c>
    </row>
    <row r="45" spans="1:11" x14ac:dyDescent="0.35">
      <c r="A45" t="s">
        <v>185</v>
      </c>
      <c r="B45" t="s">
        <v>183</v>
      </c>
      <c r="C45" t="s">
        <v>43</v>
      </c>
      <c r="D45" t="s">
        <v>184</v>
      </c>
      <c r="E45" t="s">
        <v>52</v>
      </c>
      <c r="F45">
        <v>3</v>
      </c>
      <c r="G45">
        <v>27</v>
      </c>
      <c r="I45" t="s">
        <v>120</v>
      </c>
      <c r="J45" t="s">
        <v>63</v>
      </c>
      <c r="K45" t="s">
        <v>62</v>
      </c>
    </row>
    <row r="46" spans="1:11" x14ac:dyDescent="0.35">
      <c r="A46" t="s">
        <v>146</v>
      </c>
      <c r="B46" t="s">
        <v>79</v>
      </c>
      <c r="C46" t="s">
        <v>80</v>
      </c>
      <c r="D46" t="s">
        <v>81</v>
      </c>
      <c r="E46" t="s">
        <v>29</v>
      </c>
      <c r="F46">
        <v>0.5</v>
      </c>
      <c r="G46">
        <v>1.5</v>
      </c>
      <c r="I46" t="s">
        <v>117</v>
      </c>
      <c r="J46" t="s">
        <v>63</v>
      </c>
      <c r="K46" t="s">
        <v>82</v>
      </c>
    </row>
    <row r="47" spans="1:11" x14ac:dyDescent="0.35">
      <c r="A47" t="s">
        <v>147</v>
      </c>
      <c r="B47" t="s">
        <v>83</v>
      </c>
      <c r="C47" t="s">
        <v>80</v>
      </c>
      <c r="D47" t="s">
        <v>84</v>
      </c>
      <c r="E47" t="s">
        <v>52</v>
      </c>
      <c r="F47">
        <v>1</v>
      </c>
      <c r="G47">
        <v>8</v>
      </c>
      <c r="I47" t="s">
        <v>135</v>
      </c>
      <c r="J47" t="s">
        <v>160</v>
      </c>
      <c r="K47" t="s">
        <v>82</v>
      </c>
    </row>
    <row r="48" spans="1:11" x14ac:dyDescent="0.35">
      <c r="A48" t="s">
        <v>148</v>
      </c>
      <c r="B48" t="s">
        <v>86</v>
      </c>
      <c r="C48" t="s">
        <v>80</v>
      </c>
      <c r="D48" t="s">
        <v>85</v>
      </c>
      <c r="E48" t="s">
        <v>52</v>
      </c>
      <c r="F48">
        <v>-10</v>
      </c>
      <c r="G48">
        <v>10</v>
      </c>
      <c r="I48" t="s">
        <v>135</v>
      </c>
      <c r="J48" t="s">
        <v>56</v>
      </c>
      <c r="K48" t="s">
        <v>55</v>
      </c>
    </row>
    <row r="49" spans="1:11" x14ac:dyDescent="0.35">
      <c r="A49" t="s">
        <v>149</v>
      </c>
      <c r="B49" t="s">
        <v>89</v>
      </c>
      <c r="C49" t="s">
        <v>80</v>
      </c>
      <c r="D49" t="s">
        <v>90</v>
      </c>
      <c r="E49" t="s">
        <v>52</v>
      </c>
      <c r="F49">
        <v>20</v>
      </c>
      <c r="G49">
        <v>200</v>
      </c>
      <c r="I49" t="s">
        <v>119</v>
      </c>
      <c r="J49" t="s">
        <v>56</v>
      </c>
      <c r="K49" t="s">
        <v>159</v>
      </c>
    </row>
    <row r="50" spans="1:11" x14ac:dyDescent="0.35">
      <c r="A50" t="s">
        <v>91</v>
      </c>
      <c r="B50" t="s">
        <v>91</v>
      </c>
      <c r="C50" t="s">
        <v>80</v>
      </c>
      <c r="D50" t="s">
        <v>92</v>
      </c>
      <c r="E50" t="s">
        <v>52</v>
      </c>
      <c r="F50">
        <v>0.03</v>
      </c>
      <c r="G50">
        <v>0.09</v>
      </c>
      <c r="I50" t="s">
        <v>117</v>
      </c>
      <c r="J50" t="s">
        <v>63</v>
      </c>
      <c r="K50" t="s">
        <v>161</v>
      </c>
    </row>
    <row r="51" spans="1:11" x14ac:dyDescent="0.35">
      <c r="A51" t="s">
        <v>163</v>
      </c>
      <c r="B51" t="s">
        <v>163</v>
      </c>
      <c r="C51" t="s">
        <v>80</v>
      </c>
      <c r="D51" t="s">
        <v>164</v>
      </c>
      <c r="E51" t="s">
        <v>52</v>
      </c>
      <c r="F51">
        <v>70</v>
      </c>
      <c r="G51">
        <v>90</v>
      </c>
      <c r="I51" t="s">
        <v>117</v>
      </c>
      <c r="J51" t="s">
        <v>56</v>
      </c>
      <c r="K51" t="s">
        <v>55</v>
      </c>
    </row>
    <row r="52" spans="1:11" x14ac:dyDescent="0.35">
      <c r="A52" t="s">
        <v>171</v>
      </c>
      <c r="B52" t="s">
        <v>171</v>
      </c>
      <c r="C52" t="s">
        <v>80</v>
      </c>
      <c r="D52" t="s">
        <v>165</v>
      </c>
      <c r="E52" t="s">
        <v>52</v>
      </c>
      <c r="F52">
        <v>0</v>
      </c>
      <c r="G52">
        <v>100</v>
      </c>
      <c r="I52" t="s">
        <v>117</v>
      </c>
      <c r="J52" t="s">
        <v>56</v>
      </c>
      <c r="K52" t="s">
        <v>55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Parameter Space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Linden, M.T. (Mobi) van der</dc:creator>
  <cp:keywords/>
  <dc:description/>
  <cp:lastModifiedBy>Fattahi, A. (Amir)</cp:lastModifiedBy>
  <cp:revision/>
  <dcterms:created xsi:type="dcterms:W3CDTF">2015-06-05T18:17:20Z</dcterms:created>
  <dcterms:modified xsi:type="dcterms:W3CDTF">2025-12-26T12:05:38Z</dcterms:modified>
  <cp:category/>
  <cp:contentStatus/>
</cp:coreProperties>
</file>